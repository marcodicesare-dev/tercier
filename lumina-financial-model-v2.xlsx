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P&amp;L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Zug vs Zurich" sheetId="4" state="visible" r:id="rId4"/>
    <sheet xmlns:r="http://schemas.openxmlformats.org/officeDocument/2006/relationships" name="Valuation &amp; Exit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&quot;CHF &quot;#,##0;[Red]&quot;CHF &quot;\(#,##0\)"/>
    <numFmt numFmtId="166" formatCode="0.0%"/>
    <numFmt numFmtId="167" formatCode="0.0&quot;mo&quot;"/>
  </numFmts>
  <fonts count="9">
    <font>
      <name val="Calibri"/>
      <family val="2"/>
      <color theme="1"/>
      <sz val="11"/>
      <scheme val="minor"/>
    </font>
    <font>
      <name val="Calibri"/>
      <b val="1"/>
      <color rgb="001A120B"/>
      <sz val="14"/>
    </font>
    <font>
      <name val="Calibri"/>
      <b val="1"/>
      <color rgb="001A120B"/>
      <sz val="10"/>
    </font>
    <font>
      <name val="Calibri"/>
      <color rgb="001A120B"/>
      <sz val="10"/>
    </font>
    <font>
      <name val="Calibri"/>
      <color rgb="00000088"/>
      <sz val="10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color rgb="00C17F59"/>
      <sz val="9"/>
    </font>
    <font>
      <name val="Calibri"/>
      <b val="1"/>
      <color rgb="00006600"/>
      <sz val="10"/>
    </font>
  </fonts>
  <fills count="4">
    <fill>
      <patternFill/>
    </fill>
    <fill>
      <patternFill patternType="gray125"/>
    </fill>
    <fill>
      <patternFill patternType="solid">
        <fgColor rgb="00F5EFE6"/>
        <bgColor rgb="00F5EFE6"/>
      </patternFill>
    </fill>
    <fill>
      <patternFill patternType="solid">
        <fgColor rgb="008B4A2B"/>
        <bgColor rgb="008B4A2B"/>
      </patternFill>
    </fill>
  </fills>
  <borders count="3">
    <border>
      <left/>
      <right/>
      <top/>
      <bottom/>
      <diagonal/>
    </border>
    <border>
      <bottom style="thin">
        <color rgb="00C9A96E"/>
      </bottom>
    </border>
    <border>
      <top style="medium">
        <color rgb="008B4A2B"/>
      </top>
      <bottom style="double">
        <color rgb="008B4A2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6" fillId="3" borderId="0" pivotButton="0" quotePrefix="0" xfId="0"/>
    <xf numFmtId="3" fontId="3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3" fontId="2" fillId="0" borderId="0" pivotButton="0" quotePrefix="0" xfId="0"/>
    <xf numFmtId="0" fontId="2" fillId="0" borderId="2" pivotButton="0" quotePrefix="0" xfId="0"/>
    <xf numFmtId="3" fontId="2" fillId="0" borderId="2" pivotButton="0" quotePrefix="0" xfId="0"/>
    <xf numFmtId="165" fontId="3" fillId="0" borderId="0" pivotButton="0" quotePrefix="0" xfId="0"/>
    <xf numFmtId="165" fontId="2" fillId="0" borderId="2" pivotButton="0" quotePrefix="0" xfId="0"/>
    <xf numFmtId="165" fontId="2" fillId="0" borderId="0" pivotButton="0" quotePrefix="0" xfId="0"/>
    <xf numFmtId="3" fontId="5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17F59"/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LUMINA — ALL ASSUMPTIONS (Researched April 2026)</t>
        </is>
      </c>
    </row>
    <row r="3">
      <c r="A3" s="2" t="inlineStr">
        <is>
          <t>FX RATES</t>
        </is>
      </c>
    </row>
    <row r="4">
      <c r="A4" s="3" t="inlineStr">
        <is>
          <t>EUR/CHF</t>
        </is>
      </c>
      <c r="B4" s="4" t="n">
        <v>0.9224</v>
      </c>
      <c r="C4" s="5" t="inlineStr">
        <is>
          <t>1 EUR = 0.9224 CHF. Multiply. ECB Apr 3 2026</t>
        </is>
      </c>
    </row>
    <row r="5">
      <c r="A5" s="3" t="inlineStr">
        <is>
          <t>USD/CHF</t>
        </is>
      </c>
      <c r="B5" s="4" t="n">
        <v>0.8</v>
      </c>
      <c r="C5" s="5" t="inlineStr">
        <is>
          <t>1 USD = 0.80 CHF. Multiply. Apr 4 2026</t>
        </is>
      </c>
    </row>
    <row r="6">
      <c r="A6" s="3" t="inlineStr">
        <is>
          <t>€1,000 → CHF</t>
        </is>
      </c>
      <c r="B6" s="6" t="n">
        <v>922</v>
      </c>
    </row>
    <row r="7">
      <c r="A7" s="3" t="inlineStr">
        <is>
          <t>$600 → CHF</t>
        </is>
      </c>
      <c r="B7" s="6" t="n">
        <v>480</v>
      </c>
    </row>
    <row r="9">
      <c r="A9" s="2" t="inlineStr">
        <is>
          <t>CAPITAL</t>
        </is>
      </c>
    </row>
    <row r="10">
      <c r="A10" s="3" t="inlineStr">
        <is>
          <t>Initial capital (CHF)</t>
        </is>
      </c>
      <c r="B10" s="6" t="n">
        <v>200000</v>
      </c>
      <c r="C10" s="5" t="inlineStr">
        <is>
          <t>Swiss AG share capital, hard CHF</t>
        </is>
      </c>
    </row>
    <row r="12">
      <c r="A12" s="2" t="inlineStr">
        <is>
          <t>ARPU (EUR/hotel/month)</t>
        </is>
      </c>
    </row>
    <row r="13">
      <c r="A13" s="3" t="inlineStr"/>
      <c r="B13" s="7" t="inlineStr">
        <is>
          <t>Phase 1 M1-23</t>
        </is>
      </c>
      <c r="C13" s="7" t="inlineStr">
        <is>
          <t>Phase 2 M24-36</t>
        </is>
      </c>
      <c r="D13" s="7" t="inlineStr">
        <is>
          <t>Phase 3 M37-48</t>
        </is>
      </c>
    </row>
    <row r="14">
      <c r="A14" s="3" t="inlineStr">
        <is>
          <t>Chain</t>
        </is>
      </c>
      <c r="B14" s="8" t="n">
        <v>1000</v>
      </c>
      <c r="C14" s="8" t="n">
        <v>1400</v>
      </c>
      <c r="D14" s="8" t="n">
        <v>1800</v>
      </c>
    </row>
    <row r="15">
      <c r="A15" s="3" t="inlineStr">
        <is>
          <t>Indie</t>
        </is>
      </c>
      <c r="B15" s="8" t="n">
        <v>1000</v>
      </c>
      <c r="C15" s="8" t="n">
        <v>1500</v>
      </c>
      <c r="D15" s="8" t="n">
        <v>2000</v>
      </c>
    </row>
    <row r="17">
      <c r="A17" s="2" t="inlineStr">
        <is>
          <t>CHAIN SCHEDULE (10 chains, 48 months)</t>
        </is>
      </c>
    </row>
    <row r="18">
      <c r="A18" s="3" t="inlineStr">
        <is>
          <t xml:space="preserve">  Kempinski: M1, 82 hotels total</t>
        </is>
      </c>
    </row>
    <row r="19">
      <c r="A19" s="3" t="inlineStr">
        <is>
          <t xml:space="preserve">  Radisson: M12, 95 hotels total</t>
        </is>
      </c>
    </row>
    <row r="20">
      <c r="A20" s="3" t="inlineStr">
        <is>
          <t xml:space="preserve">  Barceló: M16, 70 hotels total</t>
        </is>
      </c>
    </row>
    <row r="21">
      <c r="A21" s="3" t="inlineStr">
        <is>
          <t xml:space="preserve">  Mandarin Oriental: M20, 36 hotels total</t>
        </is>
      </c>
    </row>
    <row r="22">
      <c r="A22" s="3" t="inlineStr">
        <is>
          <t xml:space="preserve">  Hyatt Luxury: M24, 45 hotels total</t>
        </is>
      </c>
    </row>
    <row r="23">
      <c r="A23" s="3" t="inlineStr">
        <is>
          <t xml:space="preserve">  Jumeirah: M28, 26 hotels total</t>
        </is>
      </c>
    </row>
    <row r="24">
      <c r="A24" s="3" t="inlineStr">
        <is>
          <t xml:space="preserve">  Meliá: M32, 80 hotels total</t>
        </is>
      </c>
    </row>
    <row r="25">
      <c r="A25" s="3" t="inlineStr">
        <is>
          <t xml:space="preserve">  Rosewood: M36, 30 hotels total</t>
        </is>
      </c>
    </row>
    <row r="26">
      <c r="A26" s="3" t="inlineStr">
        <is>
          <t xml:space="preserve">  Minor Hotels: M40, 55 hotels total</t>
        </is>
      </c>
    </row>
    <row r="27">
      <c r="A27" s="3" t="inlineStr">
        <is>
          <t xml:space="preserve">  Rotana: M44, 42 hotels total</t>
        </is>
      </c>
    </row>
    <row r="28">
      <c r="A28" s="5" t="inlineStr">
        <is>
          <t xml:space="preserve">  Trial: 3 hotels free for 3 months. Rollout pays immediately.</t>
        </is>
      </c>
    </row>
    <row r="30">
      <c r="A30" s="2" t="inlineStr">
        <is>
          <t>INDEPENDENT HOTELS</t>
        </is>
      </c>
    </row>
    <row r="31">
      <c r="A31" s="3" t="inlineStr">
        <is>
          <t>Start M7, 2/mo base, +20% YoY growth, 12% annual churn</t>
        </is>
      </c>
    </row>
    <row r="33">
      <c r="A33" s="2" t="inlineStr">
        <is>
          <t>CEO SALARY (CHF, researched social contributions)</t>
        </is>
      </c>
    </row>
    <row r="34">
      <c r="A34" s="3" t="inlineStr">
        <is>
          <t>CHF 106,080 → company cost CHF 9,737/mo</t>
        </is>
      </c>
      <c r="B34" s="6" t="n">
        <v>9737</v>
      </c>
      <c r="C34" s="5" t="inlineStr">
        <is>
          <t>10.14% employer social</t>
        </is>
      </c>
    </row>
    <row r="35">
      <c r="A35" s="3" t="inlineStr">
        <is>
          <t>CHF 150,000 → company cost CHF 13,689/mo</t>
        </is>
      </c>
      <c r="B35" s="6" t="n">
        <v>13689</v>
      </c>
      <c r="C35" s="5" t="inlineStr">
        <is>
          <t>9.51%</t>
        </is>
      </c>
    </row>
    <row r="36">
      <c r="A36" s="3" t="inlineStr">
        <is>
          <t>CHF 185,000 → company cost CHF 16,817/mo</t>
        </is>
      </c>
      <c r="B36" s="6" t="n">
        <v>16817</v>
      </c>
      <c r="C36" s="5" t="inlineStr">
        <is>
          <t>9.09%</t>
        </is>
      </c>
    </row>
    <row r="37">
      <c r="A37" s="3" t="inlineStr">
        <is>
          <t>CHF 220,000 → company cost CHF 19,945/mo</t>
        </is>
      </c>
      <c r="B37" s="6" t="n">
        <v>19945</v>
      </c>
      <c r="C37" s="5" t="inlineStr">
        <is>
          <t>8.79%</t>
        </is>
      </c>
    </row>
    <row r="38">
      <c r="A38" s="5" t="inlineStr">
        <is>
          <t>Step-ups: €300K→150K, €1.5M→185K, €3M→220K + runway clause</t>
        </is>
      </c>
    </row>
    <row r="40">
      <c r="A40" s="2" t="inlineStr">
        <is>
          <t>TEAM (EUR/mo total company cost per person)</t>
        </is>
      </c>
    </row>
    <row r="41">
      <c r="A41" s="3" t="inlineStr">
        <is>
          <t xml:space="preserve">  Developer FT: €4,000 = CHF 3,690/mo from M1</t>
        </is>
      </c>
    </row>
    <row r="42">
      <c r="A42" s="3" t="inlineStr">
        <is>
          <t xml:space="preserve">  PM PT: €4,000 = CHF 3,690/mo from M1</t>
        </is>
      </c>
    </row>
    <row r="43">
      <c r="A43" s="3" t="inlineStr">
        <is>
          <t xml:space="preserve">  CS: €5,000 = CHF 4,612/mo from M12</t>
        </is>
      </c>
    </row>
    <row r="44">
      <c r="A44" s="3" t="inlineStr">
        <is>
          <t xml:space="preserve">  Senior Eng: €7,000 = CHF 6,457/mo from M18</t>
        </is>
      </c>
    </row>
    <row r="45">
      <c r="A45" s="3" t="inlineStr">
        <is>
          <t xml:space="preserve">  Sales/BD: €6,000 = CHF 5,534/mo from M18</t>
        </is>
      </c>
    </row>
    <row r="46">
      <c r="A46" s="3" t="inlineStr">
        <is>
          <t xml:space="preserve">  Engineer: €6,000 = CHF 5,534/mo from M30</t>
        </is>
      </c>
    </row>
    <row r="47">
      <c r="A47" s="3" t="inlineStr">
        <is>
          <t xml:space="preserve">  Marketing: €5,000 = CHF 4,612/mo from M36</t>
        </is>
      </c>
    </row>
    <row r="49">
      <c r="A49" s="2" t="inlineStr">
        <is>
          <t>DEV TOOLING ($600 USD = CHF 480)</t>
        </is>
      </c>
    </row>
    <row r="50">
      <c r="A50" s="3" t="inlineStr">
        <is>
          <t xml:space="preserve">  Claude Code Max 20x</t>
        </is>
      </c>
      <c r="B50" s="6" t="n">
        <v>160</v>
      </c>
      <c r="C50" s="5" t="inlineStr">
        <is>
          <t>$200</t>
        </is>
      </c>
    </row>
    <row r="51">
      <c r="A51" s="3" t="inlineStr">
        <is>
          <t xml:space="preserve">  OpenAI Codex Pro</t>
        </is>
      </c>
      <c r="B51" s="6" t="n">
        <v>160</v>
      </c>
      <c r="C51" s="5" t="inlineStr">
        <is>
          <t>$200</t>
        </is>
      </c>
    </row>
    <row r="52">
      <c r="A52" s="3" t="inlineStr">
        <is>
          <t xml:space="preserve">  Perplexity Max</t>
        </is>
      </c>
      <c r="B52" s="6" t="n">
        <v>160</v>
      </c>
      <c r="C52" s="5" t="inlineStr">
        <is>
          <t>$200</t>
        </is>
      </c>
    </row>
    <row r="54">
      <c r="A54" s="2" t="inlineStr">
        <is>
          <t>INFRASTRUCTURE (each SaaS tool, USD → CHF)</t>
        </is>
      </c>
    </row>
    <row r="55">
      <c r="A55" s="3" t="inlineStr">
        <is>
          <t xml:space="preserve">  Supabase Pro+compute</t>
        </is>
      </c>
      <c r="B55" s="5" t="inlineStr">
        <is>
          <t>$75→CHF 60</t>
        </is>
      </c>
      <c r="C55" s="5" t="inlineStr">
        <is>
          <t>$110→CHF 88</t>
        </is>
      </c>
      <c r="D55" s="5" t="inlineStr">
        <is>
          <t>$150→CHF 120</t>
        </is>
      </c>
      <c r="E55" s="5" t="inlineStr">
        <is>
          <t>$200→CHF 160</t>
        </is>
      </c>
    </row>
    <row r="56">
      <c r="A56" s="3" t="inlineStr">
        <is>
          <t xml:space="preserve">  Vercel Pro+usage</t>
        </is>
      </c>
      <c r="B56" s="5" t="inlineStr">
        <is>
          <t>$150→CHF 120</t>
        </is>
      </c>
      <c r="C56" s="5" t="inlineStr">
        <is>
          <t>$200→CHF 160</t>
        </is>
      </c>
      <c r="D56" s="5" t="inlineStr">
        <is>
          <t>$300→CHF 240</t>
        </is>
      </c>
      <c r="E56" s="5" t="inlineStr">
        <is>
          <t>$400→CHF 320</t>
        </is>
      </c>
    </row>
    <row r="57">
      <c r="A57" s="3" t="inlineStr">
        <is>
          <t xml:space="preserve">  DataForSEO</t>
        </is>
      </c>
      <c r="B57" s="5" t="inlineStr">
        <is>
          <t>$75→CHF 60</t>
        </is>
      </c>
      <c r="C57" s="5" t="inlineStr">
        <is>
          <t>$150→CHF 120</t>
        </is>
      </c>
      <c r="D57" s="5" t="inlineStr">
        <is>
          <t>$200→CHF 160</t>
        </is>
      </c>
      <c r="E57" s="5" t="inlineStr">
        <is>
          <t>$250→CHF 200</t>
        </is>
      </c>
    </row>
    <row r="58">
      <c r="A58" s="3" t="inlineStr">
        <is>
          <t xml:space="preserve">  SerpApi</t>
        </is>
      </c>
      <c r="B58" s="5" t="inlineStr">
        <is>
          <t>$75→CHF 60</t>
        </is>
      </c>
      <c r="C58" s="5" t="inlineStr">
        <is>
          <t>$75→CHF 60</t>
        </is>
      </c>
      <c r="D58" s="5" t="inlineStr">
        <is>
          <t>$150→CHF 120</t>
        </is>
      </c>
      <c r="E58" s="5" t="inlineStr">
        <is>
          <t>$150→CHF 120</t>
        </is>
      </c>
    </row>
    <row r="59">
      <c r="A59" s="3" t="inlineStr">
        <is>
          <t xml:space="preserve">  Firecrawl Standard</t>
        </is>
      </c>
      <c r="B59" s="5" t="inlineStr">
        <is>
          <t>$47→CHF 38</t>
        </is>
      </c>
      <c r="C59" s="5" t="inlineStr">
        <is>
          <t>$47→CHF 38</t>
        </is>
      </c>
      <c r="D59" s="5" t="inlineStr">
        <is>
          <t>$47→CHF 38</t>
        </is>
      </c>
      <c r="E59" s="5" t="inlineStr">
        <is>
          <t>$47→CHF 38</t>
        </is>
      </c>
    </row>
    <row r="60">
      <c r="A60" s="3" t="inlineStr">
        <is>
          <t xml:space="preserve">  Google Workspace</t>
        </is>
      </c>
      <c r="B60" s="5" t="inlineStr">
        <is>
          <t>$35→CHF 28</t>
        </is>
      </c>
      <c r="C60" s="5" t="inlineStr">
        <is>
          <t>$50→CHF 40</t>
        </is>
      </c>
      <c r="D60" s="5" t="inlineStr">
        <is>
          <t>$70→CHF 56</t>
        </is>
      </c>
      <c r="E60" s="5" t="inlineStr">
        <is>
          <t>$70→CHF 56</t>
        </is>
      </c>
    </row>
    <row r="61">
      <c r="A61" s="3" t="inlineStr">
        <is>
          <t xml:space="preserve">  Domain renewal</t>
        </is>
      </c>
      <c r="B61" s="5" t="inlineStr">
        <is>
          <t>$7→CHF 6</t>
        </is>
      </c>
      <c r="C61" s="5" t="inlineStr">
        <is>
          <t>$7→CHF 6</t>
        </is>
      </c>
      <c r="D61" s="5" t="inlineStr">
        <is>
          <t>$7→CHF 6</t>
        </is>
      </c>
      <c r="E61" s="5" t="inlineStr">
        <is>
          <t>$7→CHF 6</t>
        </is>
      </c>
    </row>
    <row r="62">
      <c r="A62" s="3" t="inlineStr">
        <is>
          <t xml:space="preserve">  1Password</t>
        </is>
      </c>
      <c r="B62" s="5" t="inlineStr">
        <is>
          <t>$24→CHF 19</t>
        </is>
      </c>
      <c r="C62" s="5" t="inlineStr">
        <is>
          <t>$40→CHF 32</t>
        </is>
      </c>
      <c r="D62" s="5" t="inlineStr">
        <is>
          <t>$56→CHF 45</t>
        </is>
      </c>
      <c r="E62" s="5" t="inlineStr">
        <is>
          <t>$64→CHF 51</t>
        </is>
      </c>
    </row>
    <row r="63">
      <c r="A63" s="3" t="inlineStr">
        <is>
          <t xml:space="preserve">  Canva Pro</t>
        </is>
      </c>
      <c r="B63" s="5" t="inlineStr">
        <is>
          <t>$13→CHF 10</t>
        </is>
      </c>
      <c r="C63" s="5" t="inlineStr">
        <is>
          <t>$13→CHF 10</t>
        </is>
      </c>
      <c r="D63" s="5" t="inlineStr">
        <is>
          <t>$13→CHF 10</t>
        </is>
      </c>
      <c r="E63" s="5" t="inlineStr">
        <is>
          <t>$13→CHF 10</t>
        </is>
      </c>
    </row>
    <row r="64">
      <c r="A64" s="3" t="inlineStr">
        <is>
          <t xml:space="preserve">  Sentry Team</t>
        </is>
      </c>
      <c r="B64" s="5" t="inlineStr">
        <is>
          <t>$26→CHF 21</t>
        </is>
      </c>
      <c r="C64" s="5" t="inlineStr">
        <is>
          <t>$26→CHF 21</t>
        </is>
      </c>
      <c r="D64" s="5" t="inlineStr">
        <is>
          <t>$26→CHF 21</t>
        </is>
      </c>
      <c r="E64" s="5" t="inlineStr">
        <is>
          <t>$26→CHF 21</t>
        </is>
      </c>
    </row>
    <row r="65">
      <c r="A65" s="3" t="inlineStr">
        <is>
          <t xml:space="preserve">  Resend Pro</t>
        </is>
      </c>
      <c r="B65" s="5" t="inlineStr">
        <is>
          <t>$20→CHF 16</t>
        </is>
      </c>
      <c r="C65" s="5" t="inlineStr">
        <is>
          <t>$20→CHF 16</t>
        </is>
      </c>
      <c r="D65" s="5" t="inlineStr">
        <is>
          <t>$20→CHF 16</t>
        </is>
      </c>
      <c r="E65" s="5" t="inlineStr">
        <is>
          <t>$20→CHF 16</t>
        </is>
      </c>
    </row>
    <row r="66">
      <c r="A66" s="3" t="inlineStr">
        <is>
          <t xml:space="preserve">  Notion Plus</t>
        </is>
      </c>
      <c r="B66" s="5" t="inlineStr">
        <is>
          <t>$20→CHF 16</t>
        </is>
      </c>
      <c r="C66" s="5" t="inlineStr">
        <is>
          <t>$30→CHF 24</t>
        </is>
      </c>
      <c r="D66" s="5" t="inlineStr">
        <is>
          <t>$30→CHF 24</t>
        </is>
      </c>
      <c r="E66" s="5" t="inlineStr">
        <is>
          <t>$30→CHF 24</t>
        </is>
      </c>
    </row>
    <row r="67">
      <c r="A67" s="3" t="inlineStr">
        <is>
          <t xml:space="preserve">  Cloudflare Pro</t>
        </is>
      </c>
      <c r="B67" s="5" t="inlineStr">
        <is>
          <t>$20→CHF 16</t>
        </is>
      </c>
      <c r="C67" s="5" t="inlineStr">
        <is>
          <t>$20→CHF 16</t>
        </is>
      </c>
      <c r="D67" s="5" t="inlineStr">
        <is>
          <t>$20→CHF 16</t>
        </is>
      </c>
      <c r="E67" s="5" t="inlineStr">
        <is>
          <t>$20→CHF 16</t>
        </is>
      </c>
    </row>
    <row r="68">
      <c r="A68" s="3" t="inlineStr">
        <is>
          <t xml:space="preserve">  Slack Pro</t>
        </is>
      </c>
      <c r="B68" s="5" t="inlineStr">
        <is>
          <t>$25→CHF 20</t>
        </is>
      </c>
      <c r="C68" s="5" t="inlineStr">
        <is>
          <t>$40→CHF 32</t>
        </is>
      </c>
      <c r="D68" s="5" t="inlineStr">
        <is>
          <t>$56→CHF 45</t>
        </is>
      </c>
      <c r="E68" s="5" t="inlineStr">
        <is>
          <t>$64→CHF 51</t>
        </is>
      </c>
    </row>
    <row r="69">
      <c r="A69" s="3" t="inlineStr">
        <is>
          <t xml:space="preserve">  GitHub Actions</t>
        </is>
      </c>
      <c r="B69" s="5" t="inlineStr">
        <is>
          <t>$15→CHF 12</t>
        </is>
      </c>
      <c r="C69" s="5" t="inlineStr">
        <is>
          <t>$20→CHF 16</t>
        </is>
      </c>
      <c r="D69" s="5" t="inlineStr">
        <is>
          <t>$30→CHF 24</t>
        </is>
      </c>
      <c r="E69" s="5" t="inlineStr">
        <is>
          <t>$40→CHF 32</t>
        </is>
      </c>
    </row>
    <row r="70">
      <c r="A70" s="3" t="inlineStr">
        <is>
          <t xml:space="preserve">  Upstash Redis</t>
        </is>
      </c>
      <c r="B70" s="5" t="inlineStr">
        <is>
          <t>$10→CHF 8</t>
        </is>
      </c>
      <c r="C70" s="5" t="inlineStr">
        <is>
          <t>$20→CHF 16</t>
        </is>
      </c>
      <c r="D70" s="5" t="inlineStr">
        <is>
          <t>$30→CHF 24</t>
        </is>
      </c>
      <c r="E70" s="5" t="inlineStr">
        <is>
          <t>$30→CHF 24</t>
        </is>
      </c>
    </row>
    <row r="71">
      <c r="A71" s="3" t="inlineStr">
        <is>
          <t xml:space="preserve">  PostHog</t>
        </is>
      </c>
      <c r="B71" s="5" t="inlineStr">
        <is>
          <t>$0→CHF 0</t>
        </is>
      </c>
      <c r="C71" s="5" t="inlineStr">
        <is>
          <t>$25→CHF 20</t>
        </is>
      </c>
      <c r="D71" s="5" t="inlineStr">
        <is>
          <t>$50→CHF 40</t>
        </is>
      </c>
      <c r="E71" s="5" t="inlineStr">
        <is>
          <t>$50→CHF 40</t>
        </is>
      </c>
    </row>
    <row r="72">
      <c r="A72" s="3" t="inlineStr">
        <is>
          <t xml:space="preserve">  Misc+overages</t>
        </is>
      </c>
      <c r="B72" s="5" t="inlineStr">
        <is>
          <t>$25→CHF 20</t>
        </is>
      </c>
      <c r="C72" s="5" t="inlineStr">
        <is>
          <t>$30→CHF 24</t>
        </is>
      </c>
      <c r="D72" s="5" t="inlineStr">
        <is>
          <t>$40→CHF 32</t>
        </is>
      </c>
      <c r="E72" s="5" t="inlineStr">
        <is>
          <t>$50→CHF 40</t>
        </is>
      </c>
    </row>
    <row r="74">
      <c r="A74" s="2" t="inlineStr">
        <is>
          <t>ADMIN (CHF native)</t>
        </is>
      </c>
    </row>
    <row r="75">
      <c r="A75" s="3" t="inlineStr">
        <is>
          <t xml:space="preserve">  Treuhand</t>
        </is>
      </c>
      <c r="B75" s="6" t="n">
        <v>300</v>
      </c>
      <c r="C75" s="6" t="n">
        <v>300</v>
      </c>
      <c r="D75" s="6" t="n">
        <v>500</v>
      </c>
      <c r="E75" s="6" t="n">
        <v>700</v>
      </c>
    </row>
    <row r="76">
      <c r="A76" s="3" t="inlineStr">
        <is>
          <t xml:space="preserve">  Legal</t>
        </is>
      </c>
      <c r="B76" s="6" t="n">
        <v>250</v>
      </c>
      <c r="C76" s="6" t="n">
        <v>250</v>
      </c>
      <c r="D76" s="6" t="n">
        <v>300</v>
      </c>
      <c r="E76" s="6" t="n">
        <v>400</v>
      </c>
    </row>
    <row r="77">
      <c r="A77" s="3" t="inlineStr">
        <is>
          <t xml:space="preserve">  D&amp;O ins.</t>
        </is>
      </c>
      <c r="B77" s="6" t="n">
        <v>167</v>
      </c>
      <c r="C77" s="6" t="n">
        <v>167</v>
      </c>
      <c r="D77" s="6" t="n">
        <v>200</v>
      </c>
      <c r="E77" s="6" t="n">
        <v>250</v>
      </c>
    </row>
    <row r="78">
      <c r="A78" s="3" t="inlineStr">
        <is>
          <t xml:space="preserve">  Cyber ins.</t>
        </is>
      </c>
      <c r="B78" s="6" t="n">
        <v>34</v>
      </c>
      <c r="C78" s="6" t="n">
        <v>34</v>
      </c>
      <c r="D78" s="6" t="n">
        <v>50</v>
      </c>
      <c r="E78" s="6" t="n">
        <v>75</v>
      </c>
    </row>
    <row r="79">
      <c r="A79" s="3" t="inlineStr">
        <is>
          <t xml:space="preserve">  Liability</t>
        </is>
      </c>
      <c r="B79" s="6" t="n">
        <v>100</v>
      </c>
      <c r="C79" s="6" t="n">
        <v>100</v>
      </c>
      <c r="D79" s="6" t="n">
        <v>100</v>
      </c>
      <c r="E79" s="6" t="n">
        <v>100</v>
      </c>
    </row>
    <row r="80">
      <c r="A80" s="3" t="inlineStr">
        <is>
          <t xml:space="preserve">  Banking</t>
        </is>
      </c>
      <c r="B80" s="6" t="n">
        <v>30</v>
      </c>
      <c r="C80" s="6" t="n">
        <v>30</v>
      </c>
      <c r="D80" s="6" t="n">
        <v>50</v>
      </c>
      <c r="E80" s="6" t="n">
        <v>50</v>
      </c>
    </row>
    <row r="82">
      <c r="A82" s="2" t="inlineStr">
        <is>
          <t>WORKSPACE (CHF)</t>
        </is>
      </c>
    </row>
    <row r="83">
      <c r="A83" s="3" t="inlineStr">
        <is>
          <t xml:space="preserve">  Internet: CHF 40/mo (Sunrise 1Gbit)</t>
        </is>
      </c>
    </row>
    <row r="84">
      <c r="A84" s="3" t="inlineStr">
        <is>
          <t xml:space="preserve">  Coworking: M1-12 CHF 0, M13 CHF 350, M25 CHF 500, M37 CHF 700</t>
        </is>
      </c>
    </row>
    <row r="86">
      <c r="A86" s="2" t="inlineStr">
        <is>
          <t>ONE-TIME COSTS (CHF, M1)</t>
        </is>
      </c>
    </row>
    <row r="87">
      <c r="A87" s="3" t="inlineStr">
        <is>
          <t xml:space="preserve">  Nexova AG Plus formation</t>
        </is>
      </c>
      <c r="B87" s="6" t="n">
        <v>690</v>
      </c>
    </row>
    <row r="88">
      <c r="A88" s="3" t="inlineStr">
        <is>
          <t xml:space="preserve">  Commercial register</t>
        </is>
      </c>
      <c r="B88" s="6" t="n">
        <v>650</v>
      </c>
    </row>
    <row r="89">
      <c r="A89" s="3" t="inlineStr">
        <is>
          <t xml:space="preserve">  Notary Zug</t>
        </is>
      </c>
      <c r="B89" s="6" t="n">
        <v>1000</v>
      </c>
    </row>
    <row r="90">
      <c r="A90" s="3" t="inlineStr">
        <is>
          <t xml:space="preserve">  Capital deposit account</t>
        </is>
      </c>
      <c r="B90" s="6" t="n">
        <v>250</v>
      </c>
    </row>
    <row r="91">
      <c r="A91" s="3" t="inlineStr">
        <is>
          <t xml:space="preserve">  Signature certs ×5</t>
        </is>
      </c>
      <c r="B91" s="6" t="n">
        <v>100</v>
      </c>
    </row>
    <row r="92">
      <c r="A92" s="3" t="inlineStr">
        <is>
          <t xml:space="preserve">  MacBook Pro 16" M5 Pro 64GB/2TB</t>
        </is>
      </c>
      <c r="B92" s="6" t="n">
        <v>3700</v>
      </c>
    </row>
    <row r="93">
      <c r="A93" s="3" t="inlineStr">
        <is>
          <t xml:space="preserve">  Apple Studio Display 2026</t>
        </is>
      </c>
      <c r="B93" s="6" t="n">
        <v>1290</v>
      </c>
    </row>
    <row r="94">
      <c r="A94" s="3" t="inlineStr">
        <is>
          <t xml:space="preserve">  Logitech MX Keys S keyboard</t>
        </is>
      </c>
      <c r="B94" s="6" t="n">
        <v>83</v>
      </c>
    </row>
    <row r="95">
      <c r="A95" s="3" t="inlineStr">
        <is>
          <t xml:space="preserve">  Logitech MX Master 3S mouse</t>
        </is>
      </c>
      <c r="B95" s="6" t="n">
        <v>69</v>
      </c>
    </row>
    <row r="96">
      <c r="A96" s="3" t="inlineStr">
        <is>
          <t xml:space="preserve">  Ergotron LX monitor arm</t>
        </is>
      </c>
      <c r="B96" s="6" t="n">
        <v>165</v>
      </c>
    </row>
    <row r="97">
      <c r="A97" s="3" t="inlineStr">
        <is>
          <t xml:space="preserve">  Legal (SHA, PSOP, contracts)</t>
        </is>
      </c>
      <c r="B97" s="6" t="n">
        <v>4000</v>
      </c>
    </row>
    <row r="98">
      <c r="A98" s="3" t="inlineStr">
        <is>
          <t xml:space="preserve">  Domain .ai (2yr)</t>
        </is>
      </c>
      <c r="B98" s="6" t="n">
        <v>128</v>
      </c>
    </row>
    <row r="99">
      <c r="A99" s="9" t="inlineStr">
        <is>
          <t xml:space="preserve">  TOTAL ONE-TIME</t>
        </is>
      </c>
      <c r="B99" s="6" t="n">
        <v>12125</v>
      </c>
    </row>
    <row r="101">
      <c r="A101" s="2" t="inlineStr">
        <is>
          <t>EQUITY</t>
        </is>
      </c>
    </row>
    <row r="102">
      <c r="A102" s="3" t="inlineStr">
        <is>
          <t>Amedeo 40% / Corsaro 40% / Marco 20% base / PSOP 5% off cap</t>
        </is>
      </c>
    </row>
    <row r="103">
      <c r="A103" s="2" t="inlineStr">
        <is>
          <t>EXIT KICKER</t>
        </is>
      </c>
    </row>
    <row r="104">
      <c r="A104" s="3" t="inlineStr">
        <is>
          <t>Under €30M: 20% | €30M+: 23% | €50M+: 25% | €100M+ (cap): 30%</t>
        </is>
      </c>
    </row>
    <row r="105">
      <c r="A105" s="2" t="inlineStr">
        <is>
          <t>VESTING</t>
        </is>
      </c>
    </row>
    <row r="106">
      <c r="A106" s="3" t="inlineStr">
        <is>
          <t>M12: +5% (15+ paying) | M24: +7% (ARR≥€500K) | M36: +8% (ARR≥€1.5M)</t>
        </is>
      </c>
    </row>
    <row r="107">
      <c r="A107" s="2" t="inlineStr">
        <is>
          <t>ANTI-DILUTION</t>
        </is>
      </c>
    </row>
    <row r="108">
      <c r="A108" s="3" t="inlineStr">
        <is>
          <t>10% floor through Series A, 8% from Series B. Pro-rata.</t>
        </is>
      </c>
    </row>
    <row r="110">
      <c r="A110" s="2" t="inlineStr">
        <is>
          <t>ZUG vs ZURICH</t>
        </is>
      </c>
    </row>
    <row r="111">
      <c r="A111" s="3" t="inlineStr">
        <is>
          <t>Baar/Zug profit tax: 11.82%</t>
        </is>
      </c>
      <c r="C111" s="5" t="inlineStr">
        <is>
          <t>Saves CHF 38K-78K/yr vs Zurich at 19.59%</t>
        </is>
      </c>
    </row>
    <row r="112">
      <c r="A112" s="3" t="inlineStr">
        <is>
          <t>Zurich City profit tax: 19.59%</t>
        </is>
      </c>
      <c r="C112" s="5" t="inlineStr">
        <is>
          <t>+7.77pp higher</t>
        </is>
      </c>
    </row>
    <row r="113">
      <c r="A113" s="3" t="inlineStr">
        <is>
          <t>Zurich notary: +CHF 500</t>
        </is>
      </c>
      <c r="C113" s="5" t="inlineStr">
        <is>
          <t>CHF 1,500 vs CHF 1,000</t>
        </is>
      </c>
    </row>
    <row r="114">
      <c r="A114" s="3" t="inlineStr">
        <is>
          <t>FAK Zurich: 0.98% vs Zug 1.35%</t>
        </is>
      </c>
      <c r="C114" s="5" t="inlineStr">
        <is>
          <t>CHF 400/yr cheaper per employee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4A2B"/>
    <outlinePr summaryBelow="1" summaryRight="1"/>
    <pageSetUpPr/>
  </sheetPr>
  <dimension ref="A1:BA9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6" customWidth="1" min="50" max="50"/>
    <col width="16" customWidth="1" min="51" max="51"/>
    <col width="16" customWidth="1" min="52" max="52"/>
    <col width="16" customWidth="1" min="53" max="53"/>
  </cols>
  <sheetData>
    <row r="1">
      <c r="A1" s="1" t="inlineStr">
        <is>
          <t>LUMINA — MONTHLY P&amp;L (CHF) — ZUG/BAAR</t>
        </is>
      </c>
    </row>
    <row r="3">
      <c r="B3" s="10" t="inlineStr">
        <is>
          <t>Y1</t>
        </is>
      </c>
      <c r="C3" s="10" t="inlineStr">
        <is>
          <t>Y1</t>
        </is>
      </c>
      <c r="D3" s="10" t="inlineStr">
        <is>
          <t>Y1</t>
        </is>
      </c>
      <c r="E3" s="10" t="inlineStr">
        <is>
          <t>Y1</t>
        </is>
      </c>
      <c r="F3" s="10" t="inlineStr">
        <is>
          <t>Y1</t>
        </is>
      </c>
      <c r="G3" s="10" t="inlineStr">
        <is>
          <t>Y1</t>
        </is>
      </c>
      <c r="H3" s="10" t="inlineStr">
        <is>
          <t>Y1</t>
        </is>
      </c>
      <c r="I3" s="10" t="inlineStr">
        <is>
          <t>Y1</t>
        </is>
      </c>
      <c r="J3" s="10" t="inlineStr">
        <is>
          <t>Y1</t>
        </is>
      </c>
      <c r="K3" s="10" t="inlineStr">
        <is>
          <t>Y1</t>
        </is>
      </c>
      <c r="L3" s="10" t="inlineStr">
        <is>
          <t>Y1</t>
        </is>
      </c>
      <c r="M3" s="10" t="inlineStr">
        <is>
          <t>Y1</t>
        </is>
      </c>
      <c r="N3" s="10" t="inlineStr">
        <is>
          <t>Y2</t>
        </is>
      </c>
      <c r="O3" s="10" t="inlineStr">
        <is>
          <t>Y2</t>
        </is>
      </c>
      <c r="P3" s="10" t="inlineStr">
        <is>
          <t>Y2</t>
        </is>
      </c>
      <c r="Q3" s="10" t="inlineStr">
        <is>
          <t>Y2</t>
        </is>
      </c>
      <c r="R3" s="10" t="inlineStr">
        <is>
          <t>Y2</t>
        </is>
      </c>
      <c r="S3" s="10" t="inlineStr">
        <is>
          <t>Y2</t>
        </is>
      </c>
      <c r="T3" s="10" t="inlineStr">
        <is>
          <t>Y2</t>
        </is>
      </c>
      <c r="U3" s="10" t="inlineStr">
        <is>
          <t>Y2</t>
        </is>
      </c>
      <c r="V3" s="10" t="inlineStr">
        <is>
          <t>Y2</t>
        </is>
      </c>
      <c r="W3" s="10" t="inlineStr">
        <is>
          <t>Y2</t>
        </is>
      </c>
      <c r="X3" s="10" t="inlineStr">
        <is>
          <t>Y2</t>
        </is>
      </c>
      <c r="Y3" s="10" t="inlineStr">
        <is>
          <t>Y2</t>
        </is>
      </c>
      <c r="Z3" s="10" t="inlineStr">
        <is>
          <t>Y3</t>
        </is>
      </c>
      <c r="AA3" s="10" t="inlineStr">
        <is>
          <t>Y3</t>
        </is>
      </c>
      <c r="AB3" s="10" t="inlineStr">
        <is>
          <t>Y3</t>
        </is>
      </c>
      <c r="AC3" s="10" t="inlineStr">
        <is>
          <t>Y3</t>
        </is>
      </c>
      <c r="AD3" s="10" t="inlineStr">
        <is>
          <t>Y3</t>
        </is>
      </c>
      <c r="AE3" s="10" t="inlineStr">
        <is>
          <t>Y3</t>
        </is>
      </c>
      <c r="AF3" s="10" t="inlineStr">
        <is>
          <t>Y3</t>
        </is>
      </c>
      <c r="AG3" s="10" t="inlineStr">
        <is>
          <t>Y3</t>
        </is>
      </c>
      <c r="AH3" s="10" t="inlineStr">
        <is>
          <t>Y3</t>
        </is>
      </c>
      <c r="AI3" s="10" t="inlineStr">
        <is>
          <t>Y3</t>
        </is>
      </c>
      <c r="AJ3" s="10" t="inlineStr">
        <is>
          <t>Y3</t>
        </is>
      </c>
      <c r="AK3" s="10" t="inlineStr">
        <is>
          <t>Y3</t>
        </is>
      </c>
      <c r="AL3" s="10" t="inlineStr">
        <is>
          <t>Y4</t>
        </is>
      </c>
      <c r="AM3" s="10" t="inlineStr">
        <is>
          <t>Y4</t>
        </is>
      </c>
      <c r="AN3" s="10" t="inlineStr">
        <is>
          <t>Y4</t>
        </is>
      </c>
      <c r="AO3" s="10" t="inlineStr">
        <is>
          <t>Y4</t>
        </is>
      </c>
      <c r="AP3" s="10" t="inlineStr">
        <is>
          <t>Y4</t>
        </is>
      </c>
      <c r="AQ3" s="10" t="inlineStr">
        <is>
          <t>Y4</t>
        </is>
      </c>
      <c r="AR3" s="10" t="inlineStr">
        <is>
          <t>Y4</t>
        </is>
      </c>
      <c r="AS3" s="10" t="inlineStr">
        <is>
          <t>Y4</t>
        </is>
      </c>
      <c r="AT3" s="10" t="inlineStr">
        <is>
          <t>Y4</t>
        </is>
      </c>
      <c r="AU3" s="10" t="inlineStr">
        <is>
          <t>Y4</t>
        </is>
      </c>
      <c r="AV3" s="10" t="inlineStr">
        <is>
          <t>Y4</t>
        </is>
      </c>
      <c r="AW3" s="10" t="inlineStr">
        <is>
          <t>Y4</t>
        </is>
      </c>
      <c r="AX3" s="7" t="inlineStr">
        <is>
          <t>Y1</t>
        </is>
      </c>
      <c r="AY3" s="7" t="inlineStr">
        <is>
          <t>Y2</t>
        </is>
      </c>
      <c r="AZ3" s="7" t="inlineStr">
        <is>
          <t>Y3</t>
        </is>
      </c>
      <c r="BA3" s="7" t="inlineStr">
        <is>
          <t>Y4</t>
        </is>
      </c>
    </row>
    <row r="4">
      <c r="A4" s="11" t="inlineStr">
        <is>
          <t>Month</t>
        </is>
      </c>
      <c r="B4" s="7" t="inlineStr">
        <is>
          <t>M1</t>
        </is>
      </c>
      <c r="C4" s="7" t="inlineStr">
        <is>
          <t>M2</t>
        </is>
      </c>
      <c r="D4" s="7" t="inlineStr">
        <is>
          <t>M3</t>
        </is>
      </c>
      <c r="E4" s="7" t="inlineStr">
        <is>
          <t>M4</t>
        </is>
      </c>
      <c r="F4" s="7" t="inlineStr">
        <is>
          <t>M5</t>
        </is>
      </c>
      <c r="G4" s="7" t="inlineStr">
        <is>
          <t>M6</t>
        </is>
      </c>
      <c r="H4" s="7" t="inlineStr">
        <is>
          <t>M7</t>
        </is>
      </c>
      <c r="I4" s="7" t="inlineStr">
        <is>
          <t>M8</t>
        </is>
      </c>
      <c r="J4" s="7" t="inlineStr">
        <is>
          <t>M9</t>
        </is>
      </c>
      <c r="K4" s="7" t="inlineStr">
        <is>
          <t>M10</t>
        </is>
      </c>
      <c r="L4" s="7" t="inlineStr">
        <is>
          <t>M11</t>
        </is>
      </c>
      <c r="M4" s="7" t="inlineStr">
        <is>
          <t>M12</t>
        </is>
      </c>
      <c r="N4" s="7" t="inlineStr">
        <is>
          <t>M13</t>
        </is>
      </c>
      <c r="O4" s="7" t="inlineStr">
        <is>
          <t>M14</t>
        </is>
      </c>
      <c r="P4" s="7" t="inlineStr">
        <is>
          <t>M15</t>
        </is>
      </c>
      <c r="Q4" s="7" t="inlineStr">
        <is>
          <t>M16</t>
        </is>
      </c>
      <c r="R4" s="7" t="inlineStr">
        <is>
          <t>M17</t>
        </is>
      </c>
      <c r="S4" s="7" t="inlineStr">
        <is>
          <t>M18</t>
        </is>
      </c>
      <c r="T4" s="7" t="inlineStr">
        <is>
          <t>M19</t>
        </is>
      </c>
      <c r="U4" s="7" t="inlineStr">
        <is>
          <t>M20</t>
        </is>
      </c>
      <c r="V4" s="7" t="inlineStr">
        <is>
          <t>M21</t>
        </is>
      </c>
      <c r="W4" s="7" t="inlineStr">
        <is>
          <t>M22</t>
        </is>
      </c>
      <c r="X4" s="7" t="inlineStr">
        <is>
          <t>M23</t>
        </is>
      </c>
      <c r="Y4" s="7" t="inlineStr">
        <is>
          <t>M24</t>
        </is>
      </c>
      <c r="Z4" s="7" t="inlineStr">
        <is>
          <t>M25</t>
        </is>
      </c>
      <c r="AA4" s="7" t="inlineStr">
        <is>
          <t>M26</t>
        </is>
      </c>
      <c r="AB4" s="7" t="inlineStr">
        <is>
          <t>M27</t>
        </is>
      </c>
      <c r="AC4" s="7" t="inlineStr">
        <is>
          <t>M28</t>
        </is>
      </c>
      <c r="AD4" s="7" t="inlineStr">
        <is>
          <t>M29</t>
        </is>
      </c>
      <c r="AE4" s="7" t="inlineStr">
        <is>
          <t>M30</t>
        </is>
      </c>
      <c r="AF4" s="7" t="inlineStr">
        <is>
          <t>M31</t>
        </is>
      </c>
      <c r="AG4" s="7" t="inlineStr">
        <is>
          <t>M32</t>
        </is>
      </c>
      <c r="AH4" s="7" t="inlineStr">
        <is>
          <t>M33</t>
        </is>
      </c>
      <c r="AI4" s="7" t="inlineStr">
        <is>
          <t>M34</t>
        </is>
      </c>
      <c r="AJ4" s="7" t="inlineStr">
        <is>
          <t>M35</t>
        </is>
      </c>
      <c r="AK4" s="7" t="inlineStr">
        <is>
          <t>M36</t>
        </is>
      </c>
      <c r="AL4" s="7" t="inlineStr">
        <is>
          <t>M37</t>
        </is>
      </c>
      <c r="AM4" s="7" t="inlineStr">
        <is>
          <t>M38</t>
        </is>
      </c>
      <c r="AN4" s="7" t="inlineStr">
        <is>
          <t>M39</t>
        </is>
      </c>
      <c r="AO4" s="7" t="inlineStr">
        <is>
          <t>M40</t>
        </is>
      </c>
      <c r="AP4" s="7" t="inlineStr">
        <is>
          <t>M41</t>
        </is>
      </c>
      <c r="AQ4" s="7" t="inlineStr">
        <is>
          <t>M42</t>
        </is>
      </c>
      <c r="AR4" s="7" t="inlineStr">
        <is>
          <t>M43</t>
        </is>
      </c>
      <c r="AS4" s="7" t="inlineStr">
        <is>
          <t>M44</t>
        </is>
      </c>
      <c r="AT4" s="7" t="inlineStr">
        <is>
          <t>M45</t>
        </is>
      </c>
      <c r="AU4" s="7" t="inlineStr">
        <is>
          <t>M46</t>
        </is>
      </c>
      <c r="AV4" s="7" t="inlineStr">
        <is>
          <t>M47</t>
        </is>
      </c>
      <c r="AW4" s="7" t="inlineStr">
        <is>
          <t>M48</t>
        </is>
      </c>
    </row>
    <row r="5">
      <c r="A5" s="2" t="inlineStr">
        <is>
          <t>HOTEL COUNTS</t>
        </is>
      </c>
    </row>
    <row r="6">
      <c r="A6" s="3" t="inlineStr">
        <is>
          <t xml:space="preserve">  Kempinski</t>
        </is>
      </c>
      <c r="B6" s="12" t="n">
        <v>3</v>
      </c>
      <c r="C6" s="12" t="n">
        <v>3</v>
      </c>
      <c r="D6" s="12" t="n">
        <v>3</v>
      </c>
      <c r="E6" s="12" t="n">
        <v>3</v>
      </c>
      <c r="F6" s="12" t="n">
        <v>3</v>
      </c>
      <c r="G6" s="12" t="n">
        <v>12</v>
      </c>
      <c r="H6" s="12" t="n">
        <v>12</v>
      </c>
      <c r="I6" s="12" t="n">
        <v>12</v>
      </c>
      <c r="J6" s="12" t="n">
        <v>12</v>
      </c>
      <c r="K6" s="12" t="n">
        <v>12</v>
      </c>
      <c r="L6" s="12" t="n">
        <v>12</v>
      </c>
      <c r="M6" s="12" t="n">
        <v>33</v>
      </c>
      <c r="N6" s="12" t="n">
        <v>33</v>
      </c>
      <c r="O6" s="12" t="n">
        <v>33</v>
      </c>
      <c r="P6" s="12" t="n">
        <v>33</v>
      </c>
      <c r="Q6" s="12" t="n">
        <v>33</v>
      </c>
      <c r="R6" s="12" t="n">
        <v>33</v>
      </c>
      <c r="S6" s="12" t="n">
        <v>41</v>
      </c>
      <c r="T6" s="12" t="n">
        <v>41</v>
      </c>
      <c r="U6" s="12" t="n">
        <v>41</v>
      </c>
      <c r="V6" s="12" t="n">
        <v>41</v>
      </c>
      <c r="W6" s="12" t="n">
        <v>41</v>
      </c>
      <c r="X6" s="12" t="n">
        <v>41</v>
      </c>
      <c r="Y6" s="12" t="n">
        <v>45</v>
      </c>
      <c r="Z6" s="12" t="n">
        <v>45</v>
      </c>
      <c r="AA6" s="12" t="n">
        <v>45</v>
      </c>
      <c r="AB6" s="12" t="n">
        <v>45</v>
      </c>
      <c r="AC6" s="12" t="n">
        <v>45</v>
      </c>
      <c r="AD6" s="12" t="n">
        <v>45</v>
      </c>
      <c r="AE6" s="12" t="n">
        <v>45</v>
      </c>
      <c r="AF6" s="12" t="n">
        <v>45</v>
      </c>
      <c r="AG6" s="12" t="n">
        <v>45</v>
      </c>
      <c r="AH6" s="12" t="n">
        <v>45</v>
      </c>
      <c r="AI6" s="12" t="n">
        <v>45</v>
      </c>
      <c r="AJ6" s="12" t="n">
        <v>45</v>
      </c>
      <c r="AK6" s="12" t="n">
        <v>45</v>
      </c>
      <c r="AL6" s="12" t="n">
        <v>45</v>
      </c>
      <c r="AM6" s="12" t="n">
        <v>45</v>
      </c>
      <c r="AN6" s="12" t="n">
        <v>45</v>
      </c>
      <c r="AO6" s="12" t="n">
        <v>45</v>
      </c>
      <c r="AP6" s="12" t="n">
        <v>45</v>
      </c>
      <c r="AQ6" s="12" t="n">
        <v>45</v>
      </c>
      <c r="AR6" s="12" t="n">
        <v>45</v>
      </c>
      <c r="AS6" s="12" t="n">
        <v>45</v>
      </c>
      <c r="AT6" s="12" t="n">
        <v>45</v>
      </c>
      <c r="AU6" s="12" t="n">
        <v>45</v>
      </c>
      <c r="AV6" s="12" t="n">
        <v>45</v>
      </c>
      <c r="AW6" s="12" t="n">
        <v>45</v>
      </c>
      <c r="AX6" s="12" t="n">
        <v>33</v>
      </c>
      <c r="AY6" s="12" t="n">
        <v>45</v>
      </c>
      <c r="AZ6" s="12" t="n">
        <v>45</v>
      </c>
      <c r="BA6" s="12" t="n">
        <v>45</v>
      </c>
    </row>
    <row r="7">
      <c r="A7" s="3" t="inlineStr">
        <is>
          <t xml:space="preserve">  Radisson</t>
        </is>
      </c>
      <c r="B7" s="12" t="n">
        <v>0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3</v>
      </c>
      <c r="N7" s="12" t="n">
        <v>3</v>
      </c>
      <c r="O7" s="12" t="n">
        <v>3</v>
      </c>
      <c r="P7" s="12" t="n">
        <v>3</v>
      </c>
      <c r="Q7" s="12" t="n">
        <v>3</v>
      </c>
      <c r="R7" s="12" t="n">
        <v>14</v>
      </c>
      <c r="S7" s="12" t="n">
        <v>14</v>
      </c>
      <c r="T7" s="12" t="n">
        <v>14</v>
      </c>
      <c r="U7" s="12" t="n">
        <v>14</v>
      </c>
      <c r="V7" s="12" t="n">
        <v>14</v>
      </c>
      <c r="W7" s="12" t="n">
        <v>14</v>
      </c>
      <c r="X7" s="12" t="n">
        <v>38</v>
      </c>
      <c r="Y7" s="12" t="n">
        <v>38</v>
      </c>
      <c r="Z7" s="12" t="n">
        <v>38</v>
      </c>
      <c r="AA7" s="12" t="n">
        <v>38</v>
      </c>
      <c r="AB7" s="12" t="n">
        <v>38</v>
      </c>
      <c r="AC7" s="12" t="n">
        <v>38</v>
      </c>
      <c r="AD7" s="12" t="n">
        <v>48</v>
      </c>
      <c r="AE7" s="12" t="n">
        <v>48</v>
      </c>
      <c r="AF7" s="12" t="n">
        <v>48</v>
      </c>
      <c r="AG7" s="12" t="n">
        <v>48</v>
      </c>
      <c r="AH7" s="12" t="n">
        <v>48</v>
      </c>
      <c r="AI7" s="12" t="n">
        <v>48</v>
      </c>
      <c r="AJ7" s="12" t="n">
        <v>52</v>
      </c>
      <c r="AK7" s="12" t="n">
        <v>52</v>
      </c>
      <c r="AL7" s="12" t="n">
        <v>52</v>
      </c>
      <c r="AM7" s="12" t="n">
        <v>52</v>
      </c>
      <c r="AN7" s="12" t="n">
        <v>52</v>
      </c>
      <c r="AO7" s="12" t="n">
        <v>52</v>
      </c>
      <c r="AP7" s="12" t="n">
        <v>52</v>
      </c>
      <c r="AQ7" s="12" t="n">
        <v>52</v>
      </c>
      <c r="AR7" s="12" t="n">
        <v>52</v>
      </c>
      <c r="AS7" s="12" t="n">
        <v>52</v>
      </c>
      <c r="AT7" s="12" t="n">
        <v>52</v>
      </c>
      <c r="AU7" s="12" t="n">
        <v>52</v>
      </c>
      <c r="AV7" s="12" t="n">
        <v>52</v>
      </c>
      <c r="AW7" s="12" t="n">
        <v>52</v>
      </c>
      <c r="AX7" s="12" t="n">
        <v>3</v>
      </c>
      <c r="AY7" s="12" t="n">
        <v>38</v>
      </c>
      <c r="AZ7" s="12" t="n">
        <v>52</v>
      </c>
      <c r="BA7" s="12" t="n">
        <v>52</v>
      </c>
    </row>
    <row r="8">
      <c r="A8" s="3" t="inlineStr">
        <is>
          <t xml:space="preserve">  Barceló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3</v>
      </c>
      <c r="R8" s="12" t="n">
        <v>3</v>
      </c>
      <c r="S8" s="12" t="n">
        <v>3</v>
      </c>
      <c r="T8" s="12" t="n">
        <v>3</v>
      </c>
      <c r="U8" s="12" t="n">
        <v>3</v>
      </c>
      <c r="V8" s="12" t="n">
        <v>10</v>
      </c>
      <c r="W8" s="12" t="n">
        <v>10</v>
      </c>
      <c r="X8" s="12" t="n">
        <v>10</v>
      </c>
      <c r="Y8" s="12" t="n">
        <v>10</v>
      </c>
      <c r="Z8" s="12" t="n">
        <v>10</v>
      </c>
      <c r="AA8" s="12" t="n">
        <v>10</v>
      </c>
      <c r="AB8" s="12" t="n">
        <v>28</v>
      </c>
      <c r="AC8" s="12" t="n">
        <v>28</v>
      </c>
      <c r="AD8" s="12" t="n">
        <v>28</v>
      </c>
      <c r="AE8" s="12" t="n">
        <v>28</v>
      </c>
      <c r="AF8" s="12" t="n">
        <v>28</v>
      </c>
      <c r="AG8" s="12" t="n">
        <v>28</v>
      </c>
      <c r="AH8" s="12" t="n">
        <v>35</v>
      </c>
      <c r="AI8" s="12" t="n">
        <v>35</v>
      </c>
      <c r="AJ8" s="12" t="n">
        <v>35</v>
      </c>
      <c r="AK8" s="12" t="n">
        <v>35</v>
      </c>
      <c r="AL8" s="12" t="n">
        <v>35</v>
      </c>
      <c r="AM8" s="12" t="n">
        <v>35</v>
      </c>
      <c r="AN8" s="12" t="n">
        <v>38</v>
      </c>
      <c r="AO8" s="12" t="n">
        <v>38</v>
      </c>
      <c r="AP8" s="12" t="n">
        <v>38</v>
      </c>
      <c r="AQ8" s="12" t="n">
        <v>38</v>
      </c>
      <c r="AR8" s="12" t="n">
        <v>38</v>
      </c>
      <c r="AS8" s="12" t="n">
        <v>38</v>
      </c>
      <c r="AT8" s="12" t="n">
        <v>38</v>
      </c>
      <c r="AU8" s="12" t="n">
        <v>38</v>
      </c>
      <c r="AV8" s="12" t="n">
        <v>38</v>
      </c>
      <c r="AW8" s="12" t="n">
        <v>38</v>
      </c>
      <c r="AX8" s="12" t="n">
        <v>0</v>
      </c>
      <c r="AY8" s="12" t="n">
        <v>10</v>
      </c>
      <c r="AZ8" s="12" t="n">
        <v>35</v>
      </c>
      <c r="BA8" s="12" t="n">
        <v>38</v>
      </c>
    </row>
    <row r="9">
      <c r="A9" s="3" t="inlineStr">
        <is>
          <t xml:space="preserve">  Mandarin Oriental</t>
        </is>
      </c>
      <c r="B9" s="12" t="n">
        <v>0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3</v>
      </c>
      <c r="V9" s="12" t="n">
        <v>3</v>
      </c>
      <c r="W9" s="12" t="n">
        <v>3</v>
      </c>
      <c r="X9" s="12" t="n">
        <v>3</v>
      </c>
      <c r="Y9" s="12" t="n">
        <v>3</v>
      </c>
      <c r="Z9" s="12" t="n">
        <v>5</v>
      </c>
      <c r="AA9" s="12" t="n">
        <v>5</v>
      </c>
      <c r="AB9" s="12" t="n">
        <v>5</v>
      </c>
      <c r="AC9" s="12" t="n">
        <v>5</v>
      </c>
      <c r="AD9" s="12" t="n">
        <v>5</v>
      </c>
      <c r="AE9" s="12" t="n">
        <v>5</v>
      </c>
      <c r="AF9" s="12" t="n">
        <v>14</v>
      </c>
      <c r="AG9" s="12" t="n">
        <v>14</v>
      </c>
      <c r="AH9" s="12" t="n">
        <v>14</v>
      </c>
      <c r="AI9" s="12" t="n">
        <v>14</v>
      </c>
      <c r="AJ9" s="12" t="n">
        <v>14</v>
      </c>
      <c r="AK9" s="12" t="n">
        <v>14</v>
      </c>
      <c r="AL9" s="12" t="n">
        <v>18</v>
      </c>
      <c r="AM9" s="12" t="n">
        <v>18</v>
      </c>
      <c r="AN9" s="12" t="n">
        <v>18</v>
      </c>
      <c r="AO9" s="12" t="n">
        <v>18</v>
      </c>
      <c r="AP9" s="12" t="n">
        <v>18</v>
      </c>
      <c r="AQ9" s="12" t="n">
        <v>18</v>
      </c>
      <c r="AR9" s="12" t="n">
        <v>20</v>
      </c>
      <c r="AS9" s="12" t="n">
        <v>20</v>
      </c>
      <c r="AT9" s="12" t="n">
        <v>20</v>
      </c>
      <c r="AU9" s="12" t="n">
        <v>20</v>
      </c>
      <c r="AV9" s="12" t="n">
        <v>20</v>
      </c>
      <c r="AW9" s="12" t="n">
        <v>20</v>
      </c>
      <c r="AX9" s="12" t="n">
        <v>0</v>
      </c>
      <c r="AY9" s="12" t="n">
        <v>3</v>
      </c>
      <c r="AZ9" s="12" t="n">
        <v>14</v>
      </c>
      <c r="BA9" s="12" t="n">
        <v>20</v>
      </c>
    </row>
    <row r="10">
      <c r="A10" s="3" t="inlineStr">
        <is>
          <t xml:space="preserve">  Hyatt Luxury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3</v>
      </c>
      <c r="Z10" s="12" t="n">
        <v>3</v>
      </c>
      <c r="AA10" s="12" t="n">
        <v>3</v>
      </c>
      <c r="AB10" s="12" t="n">
        <v>3</v>
      </c>
      <c r="AC10" s="12" t="n">
        <v>3</v>
      </c>
      <c r="AD10" s="12" t="n">
        <v>7</v>
      </c>
      <c r="AE10" s="12" t="n">
        <v>7</v>
      </c>
      <c r="AF10" s="12" t="n">
        <v>7</v>
      </c>
      <c r="AG10" s="12" t="n">
        <v>7</v>
      </c>
      <c r="AH10" s="12" t="n">
        <v>7</v>
      </c>
      <c r="AI10" s="12" t="n">
        <v>7</v>
      </c>
      <c r="AJ10" s="12" t="n">
        <v>18</v>
      </c>
      <c r="AK10" s="12" t="n">
        <v>18</v>
      </c>
      <c r="AL10" s="12" t="n">
        <v>18</v>
      </c>
      <c r="AM10" s="12" t="n">
        <v>18</v>
      </c>
      <c r="AN10" s="12" t="n">
        <v>18</v>
      </c>
      <c r="AO10" s="12" t="n">
        <v>18</v>
      </c>
      <c r="AP10" s="12" t="n">
        <v>22</v>
      </c>
      <c r="AQ10" s="12" t="n">
        <v>22</v>
      </c>
      <c r="AR10" s="12" t="n">
        <v>22</v>
      </c>
      <c r="AS10" s="12" t="n">
        <v>22</v>
      </c>
      <c r="AT10" s="12" t="n">
        <v>22</v>
      </c>
      <c r="AU10" s="12" t="n">
        <v>22</v>
      </c>
      <c r="AV10" s="12" t="n">
        <v>25</v>
      </c>
      <c r="AW10" s="12" t="n">
        <v>25</v>
      </c>
      <c r="AX10" s="12" t="n">
        <v>0</v>
      </c>
      <c r="AY10" s="12" t="n">
        <v>3</v>
      </c>
      <c r="AZ10" s="12" t="n">
        <v>18</v>
      </c>
      <c r="BA10" s="12" t="n">
        <v>25</v>
      </c>
    </row>
    <row r="11">
      <c r="A11" s="3" t="inlineStr">
        <is>
          <t xml:space="preserve">  Jumeirah</t>
        </is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3</v>
      </c>
      <c r="AD11" s="12" t="n">
        <v>3</v>
      </c>
      <c r="AE11" s="12" t="n">
        <v>3</v>
      </c>
      <c r="AF11" s="12" t="n">
        <v>3</v>
      </c>
      <c r="AG11" s="12" t="n">
        <v>3</v>
      </c>
      <c r="AH11" s="12" t="n">
        <v>4</v>
      </c>
      <c r="AI11" s="12" t="n">
        <v>4</v>
      </c>
      <c r="AJ11" s="12" t="n">
        <v>4</v>
      </c>
      <c r="AK11" s="12" t="n">
        <v>4</v>
      </c>
      <c r="AL11" s="12" t="n">
        <v>4</v>
      </c>
      <c r="AM11" s="12" t="n">
        <v>4</v>
      </c>
      <c r="AN11" s="12" t="n">
        <v>10</v>
      </c>
      <c r="AO11" s="12" t="n">
        <v>10</v>
      </c>
      <c r="AP11" s="12" t="n">
        <v>10</v>
      </c>
      <c r="AQ11" s="12" t="n">
        <v>10</v>
      </c>
      <c r="AR11" s="12" t="n">
        <v>10</v>
      </c>
      <c r="AS11" s="12" t="n">
        <v>10</v>
      </c>
      <c r="AT11" s="12" t="n">
        <v>13</v>
      </c>
      <c r="AU11" s="12" t="n">
        <v>13</v>
      </c>
      <c r="AV11" s="12" t="n">
        <v>13</v>
      </c>
      <c r="AW11" s="12" t="n">
        <v>13</v>
      </c>
      <c r="AX11" s="12" t="n">
        <v>0</v>
      </c>
      <c r="AY11" s="12" t="n">
        <v>0</v>
      </c>
      <c r="AZ11" s="12" t="n">
        <v>4</v>
      </c>
      <c r="BA11" s="12" t="n">
        <v>13</v>
      </c>
    </row>
    <row r="12">
      <c r="A12" s="3" t="inlineStr">
        <is>
          <t xml:space="preserve">  Meliá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3</v>
      </c>
      <c r="AH12" s="12" t="n">
        <v>3</v>
      </c>
      <c r="AI12" s="12" t="n">
        <v>3</v>
      </c>
      <c r="AJ12" s="12" t="n">
        <v>3</v>
      </c>
      <c r="AK12" s="12" t="n">
        <v>3</v>
      </c>
      <c r="AL12" s="12" t="n">
        <v>12</v>
      </c>
      <c r="AM12" s="12" t="n">
        <v>12</v>
      </c>
      <c r="AN12" s="12" t="n">
        <v>12</v>
      </c>
      <c r="AO12" s="12" t="n">
        <v>12</v>
      </c>
      <c r="AP12" s="12" t="n">
        <v>12</v>
      </c>
      <c r="AQ12" s="12" t="n">
        <v>12</v>
      </c>
      <c r="AR12" s="12" t="n">
        <v>32</v>
      </c>
      <c r="AS12" s="12" t="n">
        <v>32</v>
      </c>
      <c r="AT12" s="12" t="n">
        <v>32</v>
      </c>
      <c r="AU12" s="12" t="n">
        <v>32</v>
      </c>
      <c r="AV12" s="12" t="n">
        <v>32</v>
      </c>
      <c r="AW12" s="12" t="n">
        <v>32</v>
      </c>
      <c r="AX12" s="12" t="n">
        <v>0</v>
      </c>
      <c r="AY12" s="12" t="n">
        <v>0</v>
      </c>
      <c r="AZ12" s="12" t="n">
        <v>3</v>
      </c>
      <c r="BA12" s="12" t="n">
        <v>32</v>
      </c>
    </row>
    <row r="13">
      <c r="A13" s="3" t="inlineStr">
        <is>
          <t xml:space="preserve">  Rosewood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3</v>
      </c>
      <c r="AL13" s="12" t="n">
        <v>3</v>
      </c>
      <c r="AM13" s="12" t="n">
        <v>3</v>
      </c>
      <c r="AN13" s="12" t="n">
        <v>3</v>
      </c>
      <c r="AO13" s="12" t="n">
        <v>3</v>
      </c>
      <c r="AP13" s="12" t="n">
        <v>4</v>
      </c>
      <c r="AQ13" s="12" t="n">
        <v>4</v>
      </c>
      <c r="AR13" s="12" t="n">
        <v>4</v>
      </c>
      <c r="AS13" s="12" t="n">
        <v>4</v>
      </c>
      <c r="AT13" s="12" t="n">
        <v>4</v>
      </c>
      <c r="AU13" s="12" t="n">
        <v>4</v>
      </c>
      <c r="AV13" s="12" t="n">
        <v>12</v>
      </c>
      <c r="AW13" s="12" t="n">
        <v>12</v>
      </c>
      <c r="AX13" s="12" t="n">
        <v>0</v>
      </c>
      <c r="AY13" s="12" t="n">
        <v>0</v>
      </c>
      <c r="AZ13" s="12" t="n">
        <v>3</v>
      </c>
      <c r="BA13" s="12" t="n">
        <v>12</v>
      </c>
    </row>
    <row r="14">
      <c r="A14" s="3" t="inlineStr">
        <is>
          <t xml:space="preserve">  Minor Hotels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3</v>
      </c>
      <c r="AP14" s="12" t="n">
        <v>3</v>
      </c>
      <c r="AQ14" s="12" t="n">
        <v>3</v>
      </c>
      <c r="AR14" s="12" t="n">
        <v>3</v>
      </c>
      <c r="AS14" s="12" t="n">
        <v>3</v>
      </c>
      <c r="AT14" s="12" t="n">
        <v>8</v>
      </c>
      <c r="AU14" s="12" t="n">
        <v>8</v>
      </c>
      <c r="AV14" s="12" t="n">
        <v>8</v>
      </c>
      <c r="AW14" s="12" t="n">
        <v>8</v>
      </c>
      <c r="AX14" s="12" t="n">
        <v>0</v>
      </c>
      <c r="AY14" s="12" t="n">
        <v>0</v>
      </c>
      <c r="AZ14" s="12" t="n">
        <v>0</v>
      </c>
      <c r="BA14" s="12" t="n">
        <v>8</v>
      </c>
    </row>
    <row r="15">
      <c r="A15" s="3" t="inlineStr">
        <is>
          <t xml:space="preserve">  Rotana</t>
        </is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3</v>
      </c>
      <c r="AT15" s="12" t="n">
        <v>3</v>
      </c>
      <c r="AU15" s="12" t="n">
        <v>3</v>
      </c>
      <c r="AV15" s="12" t="n">
        <v>3</v>
      </c>
      <c r="AW15" s="12" t="n">
        <v>3</v>
      </c>
      <c r="AX15" s="12" t="n">
        <v>0</v>
      </c>
      <c r="AY15" s="12" t="n">
        <v>0</v>
      </c>
      <c r="AZ15" s="12" t="n">
        <v>0</v>
      </c>
      <c r="BA15" s="12" t="n">
        <v>3</v>
      </c>
    </row>
    <row r="16">
      <c r="A16" s="13" t="inlineStr">
        <is>
          <t>Total chain active</t>
        </is>
      </c>
      <c r="B16" s="14" t="n">
        <v>3</v>
      </c>
      <c r="C16" s="14" t="n">
        <v>3</v>
      </c>
      <c r="D16" s="14" t="n">
        <v>3</v>
      </c>
      <c r="E16" s="14" t="n">
        <v>3</v>
      </c>
      <c r="F16" s="14" t="n">
        <v>3</v>
      </c>
      <c r="G16" s="14" t="n">
        <v>12</v>
      </c>
      <c r="H16" s="14" t="n">
        <v>12</v>
      </c>
      <c r="I16" s="14" t="n">
        <v>12</v>
      </c>
      <c r="J16" s="14" t="n">
        <v>12</v>
      </c>
      <c r="K16" s="14" t="n">
        <v>12</v>
      </c>
      <c r="L16" s="14" t="n">
        <v>12</v>
      </c>
      <c r="M16" s="14" t="n">
        <v>36</v>
      </c>
      <c r="N16" s="14" t="n">
        <v>36</v>
      </c>
      <c r="O16" s="14" t="n">
        <v>36</v>
      </c>
      <c r="P16" s="14" t="n">
        <v>36</v>
      </c>
      <c r="Q16" s="14" t="n">
        <v>39</v>
      </c>
      <c r="R16" s="14" t="n">
        <v>50</v>
      </c>
      <c r="S16" s="14" t="n">
        <v>58</v>
      </c>
      <c r="T16" s="14" t="n">
        <v>58</v>
      </c>
      <c r="U16" s="14" t="n">
        <v>61</v>
      </c>
      <c r="V16" s="14" t="n">
        <v>68</v>
      </c>
      <c r="W16" s="14" t="n">
        <v>68</v>
      </c>
      <c r="X16" s="14" t="n">
        <v>92</v>
      </c>
      <c r="Y16" s="14" t="n">
        <v>99</v>
      </c>
      <c r="Z16" s="14" t="n">
        <v>101</v>
      </c>
      <c r="AA16" s="14" t="n">
        <v>101</v>
      </c>
      <c r="AB16" s="14" t="n">
        <v>119</v>
      </c>
      <c r="AC16" s="14" t="n">
        <v>122</v>
      </c>
      <c r="AD16" s="14" t="n">
        <v>136</v>
      </c>
      <c r="AE16" s="14" t="n">
        <v>136</v>
      </c>
      <c r="AF16" s="14" t="n">
        <v>145</v>
      </c>
      <c r="AG16" s="14" t="n">
        <v>148</v>
      </c>
      <c r="AH16" s="14" t="n">
        <v>156</v>
      </c>
      <c r="AI16" s="14" t="n">
        <v>156</v>
      </c>
      <c r="AJ16" s="14" t="n">
        <v>171</v>
      </c>
      <c r="AK16" s="14" t="n">
        <v>174</v>
      </c>
      <c r="AL16" s="14" t="n">
        <v>187</v>
      </c>
      <c r="AM16" s="14" t="n">
        <v>187</v>
      </c>
      <c r="AN16" s="14" t="n">
        <v>196</v>
      </c>
      <c r="AO16" s="14" t="n">
        <v>199</v>
      </c>
      <c r="AP16" s="14" t="n">
        <v>204</v>
      </c>
      <c r="AQ16" s="14" t="n">
        <v>204</v>
      </c>
      <c r="AR16" s="14" t="n">
        <v>226</v>
      </c>
      <c r="AS16" s="14" t="n">
        <v>229</v>
      </c>
      <c r="AT16" s="14" t="n">
        <v>237</v>
      </c>
      <c r="AU16" s="14" t="n">
        <v>237</v>
      </c>
      <c r="AV16" s="14" t="n">
        <v>248</v>
      </c>
      <c r="AW16" s="14" t="n">
        <v>248</v>
      </c>
      <c r="AX16" s="15" t="n">
        <v>36</v>
      </c>
      <c r="AY16" s="15" t="n">
        <v>99</v>
      </c>
      <c r="AZ16" s="15" t="n">
        <v>174</v>
      </c>
      <c r="BA16" s="15" t="n">
        <v>248</v>
      </c>
    </row>
    <row r="17">
      <c r="A17" s="3" t="inlineStr">
        <is>
          <t>Independent active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2</v>
      </c>
      <c r="I17" s="12" t="n">
        <v>4</v>
      </c>
      <c r="J17" s="12" t="n">
        <v>6</v>
      </c>
      <c r="K17" s="12" t="n">
        <v>8</v>
      </c>
      <c r="L17" s="12" t="n">
        <v>10</v>
      </c>
      <c r="M17" s="12" t="n">
        <v>12</v>
      </c>
      <c r="N17" s="12" t="n">
        <v>14</v>
      </c>
      <c r="O17" s="12" t="n">
        <v>16</v>
      </c>
      <c r="P17" s="12" t="n">
        <v>18</v>
      </c>
      <c r="Q17" s="12" t="n">
        <v>20</v>
      </c>
      <c r="R17" s="12" t="n">
        <v>22</v>
      </c>
      <c r="S17" s="12" t="n">
        <v>24</v>
      </c>
      <c r="T17" s="12" t="n">
        <v>26</v>
      </c>
      <c r="U17" s="12" t="n">
        <v>28</v>
      </c>
      <c r="V17" s="12" t="n">
        <v>30</v>
      </c>
      <c r="W17" s="12" t="n">
        <v>32</v>
      </c>
      <c r="X17" s="12" t="n">
        <v>34</v>
      </c>
      <c r="Y17" s="12" t="n">
        <v>36</v>
      </c>
      <c r="Z17" s="12" t="n">
        <v>38</v>
      </c>
      <c r="AA17" s="12" t="n">
        <v>40</v>
      </c>
      <c r="AB17" s="12" t="n">
        <v>42</v>
      </c>
      <c r="AC17" s="12" t="n">
        <v>44</v>
      </c>
      <c r="AD17" s="12" t="n">
        <v>46</v>
      </c>
      <c r="AE17" s="12" t="n">
        <v>48</v>
      </c>
      <c r="AF17" s="12" t="n">
        <v>51</v>
      </c>
      <c r="AG17" s="12" t="n">
        <v>53</v>
      </c>
      <c r="AH17" s="12" t="n">
        <v>55</v>
      </c>
      <c r="AI17" s="12" t="n">
        <v>57</v>
      </c>
      <c r="AJ17" s="12" t="n">
        <v>59</v>
      </c>
      <c r="AK17" s="12" t="n">
        <v>61</v>
      </c>
      <c r="AL17" s="12" t="n">
        <v>63</v>
      </c>
      <c r="AM17" s="12" t="n">
        <v>65</v>
      </c>
      <c r="AN17" s="12" t="n">
        <v>67</v>
      </c>
      <c r="AO17" s="12" t="n">
        <v>69</v>
      </c>
      <c r="AP17" s="12" t="n">
        <v>71</v>
      </c>
      <c r="AQ17" s="12" t="n">
        <v>73</v>
      </c>
      <c r="AR17" s="12" t="n">
        <v>75</v>
      </c>
      <c r="AS17" s="12" t="n">
        <v>77</v>
      </c>
      <c r="AT17" s="12" t="n">
        <v>79</v>
      </c>
      <c r="AU17" s="12" t="n">
        <v>81</v>
      </c>
      <c r="AV17" s="12" t="n">
        <v>83</v>
      </c>
      <c r="AW17" s="12" t="n">
        <v>85</v>
      </c>
      <c r="AX17" s="12" t="n">
        <v>12</v>
      </c>
      <c r="AY17" s="12" t="n">
        <v>36</v>
      </c>
      <c r="AZ17" s="12" t="n">
        <v>61</v>
      </c>
      <c r="BA17" s="12" t="n">
        <v>85</v>
      </c>
    </row>
    <row r="18">
      <c r="A18" s="13" t="inlineStr">
        <is>
          <t>TOTAL ACTIVE</t>
        </is>
      </c>
      <c r="B18" s="14" t="n">
        <v>3</v>
      </c>
      <c r="C18" s="14" t="n">
        <v>3</v>
      </c>
      <c r="D18" s="14" t="n">
        <v>3</v>
      </c>
      <c r="E18" s="14" t="n">
        <v>3</v>
      </c>
      <c r="F18" s="14" t="n">
        <v>3</v>
      </c>
      <c r="G18" s="14" t="n">
        <v>12</v>
      </c>
      <c r="H18" s="14" t="n">
        <v>14</v>
      </c>
      <c r="I18" s="14" t="n">
        <v>16</v>
      </c>
      <c r="J18" s="14" t="n">
        <v>18</v>
      </c>
      <c r="K18" s="14" t="n">
        <v>20</v>
      </c>
      <c r="L18" s="14" t="n">
        <v>22</v>
      </c>
      <c r="M18" s="14" t="n">
        <v>48</v>
      </c>
      <c r="N18" s="14" t="n">
        <v>50</v>
      </c>
      <c r="O18" s="14" t="n">
        <v>52</v>
      </c>
      <c r="P18" s="14" t="n">
        <v>54</v>
      </c>
      <c r="Q18" s="14" t="n">
        <v>59</v>
      </c>
      <c r="R18" s="14" t="n">
        <v>72</v>
      </c>
      <c r="S18" s="14" t="n">
        <v>82</v>
      </c>
      <c r="T18" s="14" t="n">
        <v>84</v>
      </c>
      <c r="U18" s="14" t="n">
        <v>89</v>
      </c>
      <c r="V18" s="14" t="n">
        <v>98</v>
      </c>
      <c r="W18" s="14" t="n">
        <v>100</v>
      </c>
      <c r="X18" s="14" t="n">
        <v>126</v>
      </c>
      <c r="Y18" s="14" t="n">
        <v>135</v>
      </c>
      <c r="Z18" s="14" t="n">
        <v>139</v>
      </c>
      <c r="AA18" s="14" t="n">
        <v>141</v>
      </c>
      <c r="AB18" s="14" t="n">
        <v>161</v>
      </c>
      <c r="AC18" s="14" t="n">
        <v>166</v>
      </c>
      <c r="AD18" s="14" t="n">
        <v>182</v>
      </c>
      <c r="AE18" s="14" t="n">
        <v>184</v>
      </c>
      <c r="AF18" s="14" t="n">
        <v>196</v>
      </c>
      <c r="AG18" s="14" t="n">
        <v>201</v>
      </c>
      <c r="AH18" s="14" t="n">
        <v>211</v>
      </c>
      <c r="AI18" s="14" t="n">
        <v>213</v>
      </c>
      <c r="AJ18" s="14" t="n">
        <v>230</v>
      </c>
      <c r="AK18" s="14" t="n">
        <v>235</v>
      </c>
      <c r="AL18" s="14" t="n">
        <v>250</v>
      </c>
      <c r="AM18" s="14" t="n">
        <v>252</v>
      </c>
      <c r="AN18" s="14" t="n">
        <v>263</v>
      </c>
      <c r="AO18" s="14" t="n">
        <v>268</v>
      </c>
      <c r="AP18" s="14" t="n">
        <v>275</v>
      </c>
      <c r="AQ18" s="14" t="n">
        <v>277</v>
      </c>
      <c r="AR18" s="14" t="n">
        <v>301</v>
      </c>
      <c r="AS18" s="14" t="n">
        <v>306</v>
      </c>
      <c r="AT18" s="14" t="n">
        <v>316</v>
      </c>
      <c r="AU18" s="14" t="n">
        <v>318</v>
      </c>
      <c r="AV18" s="14" t="n">
        <v>331</v>
      </c>
      <c r="AW18" s="14" t="n">
        <v>333</v>
      </c>
      <c r="AX18" s="15" t="n">
        <v>48</v>
      </c>
      <c r="AY18" s="15" t="n">
        <v>135</v>
      </c>
      <c r="AZ18" s="15" t="n">
        <v>235</v>
      </c>
      <c r="BA18" s="15" t="n">
        <v>333</v>
      </c>
    </row>
    <row r="19">
      <c r="A19" s="3" t="inlineStr">
        <is>
          <t>Chain paying (post-trial)</t>
        </is>
      </c>
      <c r="B19" s="12" t="n">
        <v>0</v>
      </c>
      <c r="C19" s="12" t="n">
        <v>0</v>
      </c>
      <c r="D19" s="12" t="n">
        <v>0</v>
      </c>
      <c r="E19" s="12" t="n">
        <v>3</v>
      </c>
      <c r="F19" s="12" t="n">
        <v>3</v>
      </c>
      <c r="G19" s="12" t="n">
        <v>12</v>
      </c>
      <c r="H19" s="12" t="n">
        <v>12</v>
      </c>
      <c r="I19" s="12" t="n">
        <v>12</v>
      </c>
      <c r="J19" s="12" t="n">
        <v>12</v>
      </c>
      <c r="K19" s="12" t="n">
        <v>12</v>
      </c>
      <c r="L19" s="12" t="n">
        <v>12</v>
      </c>
      <c r="M19" s="12" t="n">
        <v>33</v>
      </c>
      <c r="N19" s="12" t="n">
        <v>33</v>
      </c>
      <c r="O19" s="12" t="n">
        <v>33</v>
      </c>
      <c r="P19" s="12" t="n">
        <v>36</v>
      </c>
      <c r="Q19" s="12" t="n">
        <v>36</v>
      </c>
      <c r="R19" s="12" t="n">
        <v>47</v>
      </c>
      <c r="S19" s="12" t="n">
        <v>55</v>
      </c>
      <c r="T19" s="12" t="n">
        <v>58</v>
      </c>
      <c r="U19" s="12" t="n">
        <v>58</v>
      </c>
      <c r="V19" s="12" t="n">
        <v>65</v>
      </c>
      <c r="W19" s="12" t="n">
        <v>65</v>
      </c>
      <c r="X19" s="12" t="n">
        <v>92</v>
      </c>
      <c r="Y19" s="12" t="n">
        <v>96</v>
      </c>
      <c r="Z19" s="12" t="n">
        <v>98</v>
      </c>
      <c r="AA19" s="12" t="n">
        <v>98</v>
      </c>
      <c r="AB19" s="12" t="n">
        <v>119</v>
      </c>
      <c r="AC19" s="12" t="n">
        <v>119</v>
      </c>
      <c r="AD19" s="12" t="n">
        <v>133</v>
      </c>
      <c r="AE19" s="12" t="n">
        <v>133</v>
      </c>
      <c r="AF19" s="12" t="n">
        <v>145</v>
      </c>
      <c r="AG19" s="12" t="n">
        <v>145</v>
      </c>
      <c r="AH19" s="12" t="n">
        <v>153</v>
      </c>
      <c r="AI19" s="12" t="n">
        <v>153</v>
      </c>
      <c r="AJ19" s="12" t="n">
        <v>171</v>
      </c>
      <c r="AK19" s="12" t="n">
        <v>171</v>
      </c>
      <c r="AL19" s="12" t="n">
        <v>184</v>
      </c>
      <c r="AM19" s="12" t="n">
        <v>184</v>
      </c>
      <c r="AN19" s="12" t="n">
        <v>196</v>
      </c>
      <c r="AO19" s="12" t="n">
        <v>196</v>
      </c>
      <c r="AP19" s="12" t="n">
        <v>201</v>
      </c>
      <c r="AQ19" s="12" t="n">
        <v>201</v>
      </c>
      <c r="AR19" s="12" t="n">
        <v>226</v>
      </c>
      <c r="AS19" s="12" t="n">
        <v>226</v>
      </c>
      <c r="AT19" s="12" t="n">
        <v>234</v>
      </c>
      <c r="AU19" s="12" t="n">
        <v>234</v>
      </c>
      <c r="AV19" s="12" t="n">
        <v>248</v>
      </c>
      <c r="AW19" s="12" t="n">
        <v>248</v>
      </c>
      <c r="AX19" s="12" t="n">
        <v>33</v>
      </c>
      <c r="AY19" s="12" t="n">
        <v>96</v>
      </c>
      <c r="AZ19" s="12" t="n">
        <v>171</v>
      </c>
      <c r="BA19" s="12" t="n">
        <v>248</v>
      </c>
    </row>
    <row r="20">
      <c r="A20" s="3" t="inlineStr">
        <is>
          <t>Indie paying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2</v>
      </c>
      <c r="I20" s="12" t="n">
        <v>4</v>
      </c>
      <c r="J20" s="12" t="n">
        <v>6</v>
      </c>
      <c r="K20" s="12" t="n">
        <v>8</v>
      </c>
      <c r="L20" s="12" t="n">
        <v>10</v>
      </c>
      <c r="M20" s="12" t="n">
        <v>12</v>
      </c>
      <c r="N20" s="12" t="n">
        <v>14</v>
      </c>
      <c r="O20" s="12" t="n">
        <v>16</v>
      </c>
      <c r="P20" s="12" t="n">
        <v>18</v>
      </c>
      <c r="Q20" s="12" t="n">
        <v>20</v>
      </c>
      <c r="R20" s="12" t="n">
        <v>22</v>
      </c>
      <c r="S20" s="12" t="n">
        <v>24</v>
      </c>
      <c r="T20" s="12" t="n">
        <v>26</v>
      </c>
      <c r="U20" s="12" t="n">
        <v>28</v>
      </c>
      <c r="V20" s="12" t="n">
        <v>30</v>
      </c>
      <c r="W20" s="12" t="n">
        <v>32</v>
      </c>
      <c r="X20" s="12" t="n">
        <v>34</v>
      </c>
      <c r="Y20" s="12" t="n">
        <v>36</v>
      </c>
      <c r="Z20" s="12" t="n">
        <v>38</v>
      </c>
      <c r="AA20" s="12" t="n">
        <v>40</v>
      </c>
      <c r="AB20" s="12" t="n">
        <v>42</v>
      </c>
      <c r="AC20" s="12" t="n">
        <v>44</v>
      </c>
      <c r="AD20" s="12" t="n">
        <v>46</v>
      </c>
      <c r="AE20" s="12" t="n">
        <v>48</v>
      </c>
      <c r="AF20" s="12" t="n">
        <v>51</v>
      </c>
      <c r="AG20" s="12" t="n">
        <v>53</v>
      </c>
      <c r="AH20" s="12" t="n">
        <v>55</v>
      </c>
      <c r="AI20" s="12" t="n">
        <v>57</v>
      </c>
      <c r="AJ20" s="12" t="n">
        <v>59</v>
      </c>
      <c r="AK20" s="12" t="n">
        <v>61</v>
      </c>
      <c r="AL20" s="12" t="n">
        <v>63</v>
      </c>
      <c r="AM20" s="12" t="n">
        <v>65</v>
      </c>
      <c r="AN20" s="12" t="n">
        <v>67</v>
      </c>
      <c r="AO20" s="12" t="n">
        <v>69</v>
      </c>
      <c r="AP20" s="12" t="n">
        <v>71</v>
      </c>
      <c r="AQ20" s="12" t="n">
        <v>73</v>
      </c>
      <c r="AR20" s="12" t="n">
        <v>75</v>
      </c>
      <c r="AS20" s="12" t="n">
        <v>77</v>
      </c>
      <c r="AT20" s="12" t="n">
        <v>79</v>
      </c>
      <c r="AU20" s="12" t="n">
        <v>81</v>
      </c>
      <c r="AV20" s="12" t="n">
        <v>83</v>
      </c>
      <c r="AW20" s="12" t="n">
        <v>85</v>
      </c>
      <c r="AX20" s="12" t="n">
        <v>12</v>
      </c>
      <c r="AY20" s="12" t="n">
        <v>36</v>
      </c>
      <c r="AZ20" s="12" t="n">
        <v>61</v>
      </c>
      <c r="BA20" s="12" t="n">
        <v>85</v>
      </c>
    </row>
    <row r="21">
      <c r="A21" s="16" t="inlineStr">
        <is>
          <t>TOTAL PAYING</t>
        </is>
      </c>
      <c r="B21" s="17" t="n">
        <v>0</v>
      </c>
      <c r="C21" s="17" t="n">
        <v>0</v>
      </c>
      <c r="D21" s="17" t="n">
        <v>0</v>
      </c>
      <c r="E21" s="17" t="n">
        <v>3</v>
      </c>
      <c r="F21" s="17" t="n">
        <v>3</v>
      </c>
      <c r="G21" s="17" t="n">
        <v>12</v>
      </c>
      <c r="H21" s="17" t="n">
        <v>14</v>
      </c>
      <c r="I21" s="17" t="n">
        <v>16</v>
      </c>
      <c r="J21" s="17" t="n">
        <v>18</v>
      </c>
      <c r="K21" s="17" t="n">
        <v>20</v>
      </c>
      <c r="L21" s="17" t="n">
        <v>22</v>
      </c>
      <c r="M21" s="17" t="n">
        <v>45</v>
      </c>
      <c r="N21" s="17" t="n">
        <v>47</v>
      </c>
      <c r="O21" s="17" t="n">
        <v>49</v>
      </c>
      <c r="P21" s="17" t="n">
        <v>54</v>
      </c>
      <c r="Q21" s="17" t="n">
        <v>56</v>
      </c>
      <c r="R21" s="17" t="n">
        <v>69</v>
      </c>
      <c r="S21" s="17" t="n">
        <v>79</v>
      </c>
      <c r="T21" s="17" t="n">
        <v>84</v>
      </c>
      <c r="U21" s="17" t="n">
        <v>86</v>
      </c>
      <c r="V21" s="17" t="n">
        <v>95</v>
      </c>
      <c r="W21" s="17" t="n">
        <v>97</v>
      </c>
      <c r="X21" s="17" t="n">
        <v>126</v>
      </c>
      <c r="Y21" s="17" t="n">
        <v>132</v>
      </c>
      <c r="Z21" s="17" t="n">
        <v>136</v>
      </c>
      <c r="AA21" s="17" t="n">
        <v>138</v>
      </c>
      <c r="AB21" s="17" t="n">
        <v>161</v>
      </c>
      <c r="AC21" s="17" t="n">
        <v>163</v>
      </c>
      <c r="AD21" s="17" t="n">
        <v>179</v>
      </c>
      <c r="AE21" s="17" t="n">
        <v>181</v>
      </c>
      <c r="AF21" s="17" t="n">
        <v>196</v>
      </c>
      <c r="AG21" s="17" t="n">
        <v>198</v>
      </c>
      <c r="AH21" s="17" t="n">
        <v>208</v>
      </c>
      <c r="AI21" s="17" t="n">
        <v>210</v>
      </c>
      <c r="AJ21" s="17" t="n">
        <v>230</v>
      </c>
      <c r="AK21" s="17" t="n">
        <v>232</v>
      </c>
      <c r="AL21" s="17" t="n">
        <v>247</v>
      </c>
      <c r="AM21" s="17" t="n">
        <v>249</v>
      </c>
      <c r="AN21" s="17" t="n">
        <v>263</v>
      </c>
      <c r="AO21" s="17" t="n">
        <v>265</v>
      </c>
      <c r="AP21" s="17" t="n">
        <v>272</v>
      </c>
      <c r="AQ21" s="17" t="n">
        <v>274</v>
      </c>
      <c r="AR21" s="17" t="n">
        <v>301</v>
      </c>
      <c r="AS21" s="17" t="n">
        <v>303</v>
      </c>
      <c r="AT21" s="17" t="n">
        <v>313</v>
      </c>
      <c r="AU21" s="17" t="n">
        <v>315</v>
      </c>
      <c r="AV21" s="17" t="n">
        <v>331</v>
      </c>
      <c r="AW21" s="17" t="n">
        <v>333</v>
      </c>
      <c r="AX21" s="15" t="n">
        <v>45</v>
      </c>
      <c r="AY21" s="15" t="n">
        <v>132</v>
      </c>
      <c r="AZ21" s="15" t="n">
        <v>232</v>
      </c>
      <c r="BA21" s="15" t="n">
        <v>333</v>
      </c>
    </row>
    <row r="23">
      <c r="A23" s="2" t="inlineStr">
        <is>
          <t>REVENUE (CHF)</t>
        </is>
      </c>
    </row>
    <row r="24">
      <c r="A24" s="3" t="inlineStr">
        <is>
          <t>Chain revenue</t>
        </is>
      </c>
      <c r="B24" s="18" t="n">
        <v>0</v>
      </c>
      <c r="C24" s="18" t="n">
        <v>0</v>
      </c>
      <c r="D24" s="18" t="n">
        <v>0</v>
      </c>
      <c r="E24" s="18" t="n">
        <v>2767</v>
      </c>
      <c r="F24" s="18" t="n">
        <v>2767</v>
      </c>
      <c r="G24" s="18" t="n">
        <v>11069</v>
      </c>
      <c r="H24" s="18" t="n">
        <v>11069</v>
      </c>
      <c r="I24" s="18" t="n">
        <v>11069</v>
      </c>
      <c r="J24" s="18" t="n">
        <v>11069</v>
      </c>
      <c r="K24" s="18" t="n">
        <v>11069</v>
      </c>
      <c r="L24" s="18" t="n">
        <v>11069</v>
      </c>
      <c r="M24" s="18" t="n">
        <v>30439</v>
      </c>
      <c r="N24" s="18" t="n">
        <v>30439</v>
      </c>
      <c r="O24" s="18" t="n">
        <v>30439</v>
      </c>
      <c r="P24" s="18" t="n">
        <v>33206</v>
      </c>
      <c r="Q24" s="18" t="n">
        <v>33206</v>
      </c>
      <c r="R24" s="18" t="n">
        <v>43353</v>
      </c>
      <c r="S24" s="18" t="n">
        <v>50732</v>
      </c>
      <c r="T24" s="18" t="n">
        <v>53499</v>
      </c>
      <c r="U24" s="18" t="n">
        <v>53499</v>
      </c>
      <c r="V24" s="18" t="n">
        <v>59956</v>
      </c>
      <c r="W24" s="18" t="n">
        <v>59956</v>
      </c>
      <c r="X24" s="18" t="n">
        <v>84861</v>
      </c>
      <c r="Y24" s="18" t="n">
        <v>123971</v>
      </c>
      <c r="Z24" s="18" t="n">
        <v>126553</v>
      </c>
      <c r="AA24" s="18" t="n">
        <v>126553</v>
      </c>
      <c r="AB24" s="18" t="n">
        <v>153672</v>
      </c>
      <c r="AC24" s="18" t="n">
        <v>153672</v>
      </c>
      <c r="AD24" s="18" t="n">
        <v>171751</v>
      </c>
      <c r="AE24" s="18" t="n">
        <v>171751</v>
      </c>
      <c r="AF24" s="18" t="n">
        <v>187247</v>
      </c>
      <c r="AG24" s="18" t="n">
        <v>187247</v>
      </c>
      <c r="AH24" s="18" t="n">
        <v>197578</v>
      </c>
      <c r="AI24" s="18" t="n">
        <v>197578</v>
      </c>
      <c r="AJ24" s="18" t="n">
        <v>220823</v>
      </c>
      <c r="AK24" s="18" t="n">
        <v>220823</v>
      </c>
      <c r="AL24" s="18" t="n">
        <v>305499</v>
      </c>
      <c r="AM24" s="18" t="n">
        <v>305499</v>
      </c>
      <c r="AN24" s="18" t="n">
        <v>325423</v>
      </c>
      <c r="AO24" s="18" t="n">
        <v>325423</v>
      </c>
      <c r="AP24" s="18" t="n">
        <v>333724</v>
      </c>
      <c r="AQ24" s="18" t="n">
        <v>333724</v>
      </c>
      <c r="AR24" s="18" t="n">
        <v>375232</v>
      </c>
      <c r="AS24" s="18" t="n">
        <v>375232</v>
      </c>
      <c r="AT24" s="18" t="n">
        <v>388515</v>
      </c>
      <c r="AU24" s="18" t="n">
        <v>388515</v>
      </c>
      <c r="AV24" s="18" t="n">
        <v>411759</v>
      </c>
      <c r="AW24" s="18" t="n">
        <v>411759</v>
      </c>
      <c r="AX24" s="18" t="n">
        <v>102387</v>
      </c>
      <c r="AY24" s="18" t="n">
        <v>657117</v>
      </c>
      <c r="AZ24" s="18" t="n">
        <v>2115248</v>
      </c>
      <c r="BA24" s="18" t="n">
        <v>4280304</v>
      </c>
    </row>
    <row r="25">
      <c r="A25" s="3" t="inlineStr">
        <is>
          <t>Indie revenue</t>
        </is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1845</v>
      </c>
      <c r="I25" s="18" t="n">
        <v>3690</v>
      </c>
      <c r="J25" s="18" t="n">
        <v>5534</v>
      </c>
      <c r="K25" s="18" t="n">
        <v>7379</v>
      </c>
      <c r="L25" s="18" t="n">
        <v>9224</v>
      </c>
      <c r="M25" s="18" t="n">
        <v>11069</v>
      </c>
      <c r="N25" s="18" t="n">
        <v>12914</v>
      </c>
      <c r="O25" s="18" t="n">
        <v>14758</v>
      </c>
      <c r="P25" s="18" t="n">
        <v>16603</v>
      </c>
      <c r="Q25" s="18" t="n">
        <v>18448</v>
      </c>
      <c r="R25" s="18" t="n">
        <v>20293</v>
      </c>
      <c r="S25" s="18" t="n">
        <v>22138</v>
      </c>
      <c r="T25" s="18" t="n">
        <v>23982</v>
      </c>
      <c r="U25" s="18" t="n">
        <v>25827</v>
      </c>
      <c r="V25" s="18" t="n">
        <v>27672</v>
      </c>
      <c r="W25" s="18" t="n">
        <v>29517</v>
      </c>
      <c r="X25" s="18" t="n">
        <v>31362</v>
      </c>
      <c r="Y25" s="18" t="n">
        <v>49810</v>
      </c>
      <c r="Z25" s="18" t="n">
        <v>52577</v>
      </c>
      <c r="AA25" s="18" t="n">
        <v>55344</v>
      </c>
      <c r="AB25" s="18" t="n">
        <v>58111</v>
      </c>
      <c r="AC25" s="18" t="n">
        <v>60878</v>
      </c>
      <c r="AD25" s="18" t="n">
        <v>63646</v>
      </c>
      <c r="AE25" s="18" t="n">
        <v>66413</v>
      </c>
      <c r="AF25" s="18" t="n">
        <v>70564</v>
      </c>
      <c r="AG25" s="18" t="n">
        <v>73331</v>
      </c>
      <c r="AH25" s="18" t="n">
        <v>76098</v>
      </c>
      <c r="AI25" s="18" t="n">
        <v>78865</v>
      </c>
      <c r="AJ25" s="18" t="n">
        <v>81632</v>
      </c>
      <c r="AK25" s="18" t="n">
        <v>84400</v>
      </c>
      <c r="AL25" s="18" t="n">
        <v>116222</v>
      </c>
      <c r="AM25" s="18" t="n">
        <v>119912</v>
      </c>
      <c r="AN25" s="18" t="n">
        <v>123602</v>
      </c>
      <c r="AO25" s="18" t="n">
        <v>127291</v>
      </c>
      <c r="AP25" s="18" t="n">
        <v>130981</v>
      </c>
      <c r="AQ25" s="18" t="n">
        <v>134670</v>
      </c>
      <c r="AR25" s="18" t="n">
        <v>138360</v>
      </c>
      <c r="AS25" s="18" t="n">
        <v>142050</v>
      </c>
      <c r="AT25" s="18" t="n">
        <v>145739</v>
      </c>
      <c r="AU25" s="18" t="n">
        <v>149429</v>
      </c>
      <c r="AV25" s="18" t="n">
        <v>153118</v>
      </c>
      <c r="AW25" s="18" t="n">
        <v>156808</v>
      </c>
      <c r="AX25" s="18" t="n">
        <v>38741</v>
      </c>
      <c r="AY25" s="18" t="n">
        <v>293324</v>
      </c>
      <c r="AZ25" s="18" t="n">
        <v>821859</v>
      </c>
      <c r="BA25" s="18" t="n">
        <v>1638182</v>
      </c>
    </row>
    <row r="26">
      <c r="A26" s="16" t="inlineStr">
        <is>
          <t>TOTAL REVENUE</t>
        </is>
      </c>
      <c r="B26" s="19" t="n">
        <v>0</v>
      </c>
      <c r="C26" s="19" t="n">
        <v>0</v>
      </c>
      <c r="D26" s="19" t="n">
        <v>0</v>
      </c>
      <c r="E26" s="19" t="n">
        <v>2767</v>
      </c>
      <c r="F26" s="19" t="n">
        <v>2767</v>
      </c>
      <c r="G26" s="19" t="n">
        <v>11069</v>
      </c>
      <c r="H26" s="19" t="n">
        <v>12914</v>
      </c>
      <c r="I26" s="19" t="n">
        <v>14759</v>
      </c>
      <c r="J26" s="19" t="n">
        <v>16603</v>
      </c>
      <c r="K26" s="19" t="n">
        <v>18448</v>
      </c>
      <c r="L26" s="19" t="n">
        <v>20293</v>
      </c>
      <c r="M26" s="19" t="n">
        <v>41508</v>
      </c>
      <c r="N26" s="19" t="n">
        <v>43353</v>
      </c>
      <c r="O26" s="19" t="n">
        <v>45197</v>
      </c>
      <c r="P26" s="19" t="n">
        <v>49809</v>
      </c>
      <c r="Q26" s="19" t="n">
        <v>51654</v>
      </c>
      <c r="R26" s="19" t="n">
        <v>63646</v>
      </c>
      <c r="S26" s="19" t="n">
        <v>72870</v>
      </c>
      <c r="T26" s="19" t="n">
        <v>77481</v>
      </c>
      <c r="U26" s="19" t="n">
        <v>79326</v>
      </c>
      <c r="V26" s="19" t="n">
        <v>87628</v>
      </c>
      <c r="W26" s="19" t="n">
        <v>89473</v>
      </c>
      <c r="X26" s="19" t="n">
        <v>116223</v>
      </c>
      <c r="Y26" s="19" t="n">
        <v>173781</v>
      </c>
      <c r="Z26" s="19" t="n">
        <v>179130</v>
      </c>
      <c r="AA26" s="19" t="n">
        <v>181897</v>
      </c>
      <c r="AB26" s="19" t="n">
        <v>211783</v>
      </c>
      <c r="AC26" s="19" t="n">
        <v>214550</v>
      </c>
      <c r="AD26" s="19" t="n">
        <v>235397</v>
      </c>
      <c r="AE26" s="19" t="n">
        <v>238164</v>
      </c>
      <c r="AF26" s="19" t="n">
        <v>257811</v>
      </c>
      <c r="AG26" s="19" t="n">
        <v>260578</v>
      </c>
      <c r="AH26" s="19" t="n">
        <v>273676</v>
      </c>
      <c r="AI26" s="19" t="n">
        <v>276443</v>
      </c>
      <c r="AJ26" s="19" t="n">
        <v>302455</v>
      </c>
      <c r="AK26" s="19" t="n">
        <v>305223</v>
      </c>
      <c r="AL26" s="19" t="n">
        <v>421721</v>
      </c>
      <c r="AM26" s="19" t="n">
        <v>425411</v>
      </c>
      <c r="AN26" s="19" t="n">
        <v>449025</v>
      </c>
      <c r="AO26" s="19" t="n">
        <v>452714</v>
      </c>
      <c r="AP26" s="19" t="n">
        <v>464705</v>
      </c>
      <c r="AQ26" s="19" t="n">
        <v>468394</v>
      </c>
      <c r="AR26" s="19" t="n">
        <v>513592</v>
      </c>
      <c r="AS26" s="19" t="n">
        <v>517282</v>
      </c>
      <c r="AT26" s="19" t="n">
        <v>534254</v>
      </c>
      <c r="AU26" s="19" t="n">
        <v>537944</v>
      </c>
      <c r="AV26" s="19" t="n">
        <v>564877</v>
      </c>
      <c r="AW26" s="19" t="n">
        <v>568567</v>
      </c>
      <c r="AX26" s="20" t="n">
        <v>141128</v>
      </c>
      <c r="AY26" s="20" t="n">
        <v>950441</v>
      </c>
      <c r="AZ26" s="20" t="n">
        <v>2937107</v>
      </c>
      <c r="BA26" s="20" t="n">
        <v>5918486</v>
      </c>
    </row>
    <row r="27">
      <c r="A27" s="9" t="inlineStr">
        <is>
          <t>ARR (CHF)</t>
        </is>
      </c>
      <c r="B27" s="20">
        <f>B26*12</f>
        <v/>
      </c>
      <c r="C27" s="20">
        <f>C26*12</f>
        <v/>
      </c>
      <c r="D27" s="20">
        <f>D26*12</f>
        <v/>
      </c>
      <c r="E27" s="20">
        <f>E26*12</f>
        <v/>
      </c>
      <c r="F27" s="20">
        <f>F26*12</f>
        <v/>
      </c>
      <c r="G27" s="20">
        <f>G26*12</f>
        <v/>
      </c>
      <c r="H27" s="20">
        <f>H26*12</f>
        <v/>
      </c>
      <c r="I27" s="20">
        <f>I26*12</f>
        <v/>
      </c>
      <c r="J27" s="20">
        <f>J26*12</f>
        <v/>
      </c>
      <c r="K27" s="20">
        <f>K26*12</f>
        <v/>
      </c>
      <c r="L27" s="20">
        <f>L26*12</f>
        <v/>
      </c>
      <c r="M27" s="20">
        <f>M26*12</f>
        <v/>
      </c>
      <c r="N27" s="20">
        <f>N26*12</f>
        <v/>
      </c>
      <c r="O27" s="20">
        <f>O26*12</f>
        <v/>
      </c>
      <c r="P27" s="20">
        <f>P26*12</f>
        <v/>
      </c>
      <c r="Q27" s="20">
        <f>Q26*12</f>
        <v/>
      </c>
      <c r="R27" s="20">
        <f>R26*12</f>
        <v/>
      </c>
      <c r="S27" s="20">
        <f>S26*12</f>
        <v/>
      </c>
      <c r="T27" s="20">
        <f>T26*12</f>
        <v/>
      </c>
      <c r="U27" s="20">
        <f>U26*12</f>
        <v/>
      </c>
      <c r="V27" s="20">
        <f>V26*12</f>
        <v/>
      </c>
      <c r="W27" s="20">
        <f>W26*12</f>
        <v/>
      </c>
      <c r="X27" s="20">
        <f>X26*12</f>
        <v/>
      </c>
      <c r="Y27" s="20">
        <f>Y26*12</f>
        <v/>
      </c>
      <c r="Z27" s="20">
        <f>Z26*12</f>
        <v/>
      </c>
      <c r="AA27" s="20">
        <f>AA26*12</f>
        <v/>
      </c>
      <c r="AB27" s="20">
        <f>AB26*12</f>
        <v/>
      </c>
      <c r="AC27" s="20">
        <f>AC26*12</f>
        <v/>
      </c>
      <c r="AD27" s="20">
        <f>AD26*12</f>
        <v/>
      </c>
      <c r="AE27" s="20">
        <f>AE26*12</f>
        <v/>
      </c>
      <c r="AF27" s="20">
        <f>AF26*12</f>
        <v/>
      </c>
      <c r="AG27" s="20">
        <f>AG26*12</f>
        <v/>
      </c>
      <c r="AH27" s="20">
        <f>AH26*12</f>
        <v/>
      </c>
      <c r="AI27" s="20">
        <f>AI26*12</f>
        <v/>
      </c>
      <c r="AJ27" s="20">
        <f>AJ26*12</f>
        <v/>
      </c>
      <c r="AK27" s="20">
        <f>AK26*12</f>
        <v/>
      </c>
      <c r="AL27" s="20">
        <f>AL26*12</f>
        <v/>
      </c>
      <c r="AM27" s="20">
        <f>AM26*12</f>
        <v/>
      </c>
      <c r="AN27" s="20">
        <f>AN26*12</f>
        <v/>
      </c>
      <c r="AO27" s="20">
        <f>AO26*12</f>
        <v/>
      </c>
      <c r="AP27" s="20">
        <f>AP26*12</f>
        <v/>
      </c>
      <c r="AQ27" s="20">
        <f>AQ26*12</f>
        <v/>
      </c>
      <c r="AR27" s="20">
        <f>AR26*12</f>
        <v/>
      </c>
      <c r="AS27" s="20">
        <f>AS26*12</f>
        <v/>
      </c>
      <c r="AT27" s="20">
        <f>AT26*12</f>
        <v/>
      </c>
      <c r="AU27" s="20">
        <f>AU26*12</f>
        <v/>
      </c>
      <c r="AV27" s="20">
        <f>AV26*12</f>
        <v/>
      </c>
      <c r="AW27" s="20">
        <f>AW26*12</f>
        <v/>
      </c>
      <c r="AX27" s="20">
        <f>M27</f>
        <v/>
      </c>
      <c r="AY27" s="20">
        <f>Y27</f>
        <v/>
      </c>
      <c r="AZ27" s="20">
        <f>AK27</f>
        <v/>
      </c>
      <c r="BA27" s="20">
        <f>AW27</f>
        <v/>
      </c>
    </row>
    <row r="28">
      <c r="A28" s="5" t="inlineStr">
        <is>
          <t>ARR (EUR)</t>
        </is>
      </c>
      <c r="B28" s="21">
        <f>B27/0.9224</f>
        <v/>
      </c>
      <c r="C28" s="21">
        <f>C27/0.9224</f>
        <v/>
      </c>
      <c r="D28" s="21">
        <f>D27/0.9224</f>
        <v/>
      </c>
      <c r="E28" s="21">
        <f>E27/0.9224</f>
        <v/>
      </c>
      <c r="F28" s="21">
        <f>F27/0.9224</f>
        <v/>
      </c>
      <c r="G28" s="21">
        <f>G27/0.9224</f>
        <v/>
      </c>
      <c r="H28" s="21">
        <f>H27/0.9224</f>
        <v/>
      </c>
      <c r="I28" s="21">
        <f>I27/0.9224</f>
        <v/>
      </c>
      <c r="J28" s="21">
        <f>J27/0.9224</f>
        <v/>
      </c>
      <c r="K28" s="21">
        <f>K27/0.9224</f>
        <v/>
      </c>
      <c r="L28" s="21">
        <f>L27/0.9224</f>
        <v/>
      </c>
      <c r="M28" s="21">
        <f>M27/0.9224</f>
        <v/>
      </c>
      <c r="N28" s="21">
        <f>N27/0.9224</f>
        <v/>
      </c>
      <c r="O28" s="21">
        <f>O27/0.9224</f>
        <v/>
      </c>
      <c r="P28" s="21">
        <f>P27/0.9224</f>
        <v/>
      </c>
      <c r="Q28" s="21">
        <f>Q27/0.9224</f>
        <v/>
      </c>
      <c r="R28" s="21">
        <f>R27/0.9224</f>
        <v/>
      </c>
      <c r="S28" s="21">
        <f>S27/0.9224</f>
        <v/>
      </c>
      <c r="T28" s="21">
        <f>T27/0.9224</f>
        <v/>
      </c>
      <c r="U28" s="21">
        <f>U27/0.9224</f>
        <v/>
      </c>
      <c r="V28" s="21">
        <f>V27/0.9224</f>
        <v/>
      </c>
      <c r="W28" s="21">
        <f>W27/0.9224</f>
        <v/>
      </c>
      <c r="X28" s="21">
        <f>X27/0.9224</f>
        <v/>
      </c>
      <c r="Y28" s="21">
        <f>Y27/0.9224</f>
        <v/>
      </c>
      <c r="Z28" s="21">
        <f>Z27/0.9224</f>
        <v/>
      </c>
      <c r="AA28" s="21">
        <f>AA27/0.9224</f>
        <v/>
      </c>
      <c r="AB28" s="21">
        <f>AB27/0.9224</f>
        <v/>
      </c>
      <c r="AC28" s="21">
        <f>AC27/0.9224</f>
        <v/>
      </c>
      <c r="AD28" s="21">
        <f>AD27/0.9224</f>
        <v/>
      </c>
      <c r="AE28" s="21">
        <f>AE27/0.9224</f>
        <v/>
      </c>
      <c r="AF28" s="21">
        <f>AF27/0.9224</f>
        <v/>
      </c>
      <c r="AG28" s="21">
        <f>AG27/0.9224</f>
        <v/>
      </c>
      <c r="AH28" s="21">
        <f>AH27/0.9224</f>
        <v/>
      </c>
      <c r="AI28" s="21">
        <f>AI27/0.9224</f>
        <v/>
      </c>
      <c r="AJ28" s="21">
        <f>AJ27/0.9224</f>
        <v/>
      </c>
      <c r="AK28" s="21">
        <f>AK27/0.9224</f>
        <v/>
      </c>
      <c r="AL28" s="21">
        <f>AL27/0.9224</f>
        <v/>
      </c>
      <c r="AM28" s="21">
        <f>AM27/0.9224</f>
        <v/>
      </c>
      <c r="AN28" s="21">
        <f>AN27/0.9224</f>
        <v/>
      </c>
      <c r="AO28" s="21">
        <f>AO27/0.9224</f>
        <v/>
      </c>
      <c r="AP28" s="21">
        <f>AP27/0.9224</f>
        <v/>
      </c>
      <c r="AQ28" s="21">
        <f>AQ27/0.9224</f>
        <v/>
      </c>
      <c r="AR28" s="21">
        <f>AR27/0.9224</f>
        <v/>
      </c>
      <c r="AS28" s="21">
        <f>AS27/0.9224</f>
        <v/>
      </c>
      <c r="AT28" s="21">
        <f>AT27/0.9224</f>
        <v/>
      </c>
      <c r="AU28" s="21">
        <f>AU27/0.9224</f>
        <v/>
      </c>
      <c r="AV28" s="21">
        <f>AV27/0.9224</f>
        <v/>
      </c>
      <c r="AW28" s="21">
        <f>AW27/0.9224</f>
        <v/>
      </c>
      <c r="AX28" s="21">
        <f>M28</f>
        <v/>
      </c>
      <c r="AY28" s="21">
        <f>Y28</f>
        <v/>
      </c>
      <c r="AZ28" s="21">
        <f>AK28</f>
        <v/>
      </c>
      <c r="BA28" s="21">
        <f>AW28</f>
        <v/>
      </c>
    </row>
    <row r="30">
      <c r="A30" s="2" t="inlineStr">
        <is>
          <t>COSTS (CHF) — EVERY ITEM</t>
        </is>
      </c>
    </row>
    <row r="31">
      <c r="A31" s="5" t="inlineStr">
        <is>
          <t xml:space="preserve">  — People</t>
        </is>
      </c>
    </row>
    <row r="32">
      <c r="A32" s="3" t="inlineStr">
        <is>
          <t xml:space="preserve">  CEO gross salary (CHF)</t>
        </is>
      </c>
      <c r="B32" s="18" t="n">
        <v>8840</v>
      </c>
      <c r="C32" s="18" t="n">
        <v>8840</v>
      </c>
      <c r="D32" s="18" t="n">
        <v>8840</v>
      </c>
      <c r="E32" s="18" t="n">
        <v>8840</v>
      </c>
      <c r="F32" s="18" t="n">
        <v>8840</v>
      </c>
      <c r="G32" s="18" t="n">
        <v>8840</v>
      </c>
      <c r="H32" s="18" t="n">
        <v>8840</v>
      </c>
      <c r="I32" s="18" t="n">
        <v>8840</v>
      </c>
      <c r="J32" s="18" t="n">
        <v>8840</v>
      </c>
      <c r="K32" s="18" t="n">
        <v>8840</v>
      </c>
      <c r="L32" s="18" t="n">
        <v>8840</v>
      </c>
      <c r="M32" s="18" t="n">
        <v>12500</v>
      </c>
      <c r="N32" s="18" t="n">
        <v>12500</v>
      </c>
      <c r="O32" s="18" t="n">
        <v>12500</v>
      </c>
      <c r="P32" s="18" t="n">
        <v>12500</v>
      </c>
      <c r="Q32" s="18" t="n">
        <v>12500</v>
      </c>
      <c r="R32" s="18" t="n">
        <v>12500</v>
      </c>
      <c r="S32" s="18" t="n">
        <v>12500</v>
      </c>
      <c r="T32" s="18" t="n">
        <v>12500</v>
      </c>
      <c r="U32" s="18" t="n">
        <v>12500</v>
      </c>
      <c r="V32" s="18" t="n">
        <v>12500</v>
      </c>
      <c r="W32" s="18" t="n">
        <v>12500</v>
      </c>
      <c r="X32" s="18" t="n">
        <v>15417</v>
      </c>
      <c r="Y32" s="18" t="n">
        <v>15417</v>
      </c>
      <c r="Z32" s="18" t="n">
        <v>15417</v>
      </c>
      <c r="AA32" s="18" t="n">
        <v>15417</v>
      </c>
      <c r="AB32" s="18" t="n">
        <v>15417</v>
      </c>
      <c r="AC32" s="18" t="n">
        <v>15417</v>
      </c>
      <c r="AD32" s="18" t="n">
        <v>18333</v>
      </c>
      <c r="AE32" s="18" t="n">
        <v>18333</v>
      </c>
      <c r="AF32" s="18" t="n">
        <v>18333</v>
      </c>
      <c r="AG32" s="18" t="n">
        <v>18333</v>
      </c>
      <c r="AH32" s="18" t="n">
        <v>18333</v>
      </c>
      <c r="AI32" s="18" t="n">
        <v>18333</v>
      </c>
      <c r="AJ32" s="18" t="n">
        <v>18333</v>
      </c>
      <c r="AK32" s="18" t="n">
        <v>18333</v>
      </c>
      <c r="AL32" s="18" t="n">
        <v>18333</v>
      </c>
      <c r="AM32" s="18" t="n">
        <v>18333</v>
      </c>
      <c r="AN32" s="18" t="n">
        <v>18333</v>
      </c>
      <c r="AO32" s="18" t="n">
        <v>18333</v>
      </c>
      <c r="AP32" s="18" t="n">
        <v>18333</v>
      </c>
      <c r="AQ32" s="18" t="n">
        <v>18333</v>
      </c>
      <c r="AR32" s="18" t="n">
        <v>18333</v>
      </c>
      <c r="AS32" s="18" t="n">
        <v>18333</v>
      </c>
      <c r="AT32" s="18" t="n">
        <v>18333</v>
      </c>
      <c r="AU32" s="18" t="n">
        <v>18333</v>
      </c>
      <c r="AV32" s="18" t="n">
        <v>18333</v>
      </c>
      <c r="AW32" s="18" t="n">
        <v>18333</v>
      </c>
      <c r="AX32" s="18" t="n">
        <v>109740</v>
      </c>
      <c r="AY32" s="18" t="n">
        <v>155834</v>
      </c>
      <c r="AZ32" s="18" t="n">
        <v>208332</v>
      </c>
      <c r="BA32" s="18" t="n">
        <v>219996</v>
      </c>
    </row>
    <row r="33">
      <c r="A33" s="3" t="inlineStr">
        <is>
          <t xml:space="preserve">  CEO employer social (10.1%)</t>
        </is>
      </c>
      <c r="B33" s="18" t="n">
        <v>897</v>
      </c>
      <c r="C33" s="18" t="n">
        <v>897</v>
      </c>
      <c r="D33" s="18" t="n">
        <v>897</v>
      </c>
      <c r="E33" s="18" t="n">
        <v>897</v>
      </c>
      <c r="F33" s="18" t="n">
        <v>897</v>
      </c>
      <c r="G33" s="18" t="n">
        <v>897</v>
      </c>
      <c r="H33" s="18" t="n">
        <v>897</v>
      </c>
      <c r="I33" s="18" t="n">
        <v>897</v>
      </c>
      <c r="J33" s="18" t="n">
        <v>897</v>
      </c>
      <c r="K33" s="18" t="n">
        <v>897</v>
      </c>
      <c r="L33" s="18" t="n">
        <v>897</v>
      </c>
      <c r="M33" s="18" t="n">
        <v>1189</v>
      </c>
      <c r="N33" s="18" t="n">
        <v>1189</v>
      </c>
      <c r="O33" s="18" t="n">
        <v>1189</v>
      </c>
      <c r="P33" s="18" t="n">
        <v>1189</v>
      </c>
      <c r="Q33" s="18" t="n">
        <v>1189</v>
      </c>
      <c r="R33" s="18" t="n">
        <v>1189</v>
      </c>
      <c r="S33" s="18" t="n">
        <v>1189</v>
      </c>
      <c r="T33" s="18" t="n">
        <v>1189</v>
      </c>
      <c r="U33" s="18" t="n">
        <v>1189</v>
      </c>
      <c r="V33" s="18" t="n">
        <v>1189</v>
      </c>
      <c r="W33" s="18" t="n">
        <v>1189</v>
      </c>
      <c r="X33" s="18" t="n">
        <v>1400</v>
      </c>
      <c r="Y33" s="18" t="n">
        <v>1400</v>
      </c>
      <c r="Z33" s="18" t="n">
        <v>1400</v>
      </c>
      <c r="AA33" s="18" t="n">
        <v>1400</v>
      </c>
      <c r="AB33" s="18" t="n">
        <v>1400</v>
      </c>
      <c r="AC33" s="18" t="n">
        <v>1400</v>
      </c>
      <c r="AD33" s="18" t="n">
        <v>1612</v>
      </c>
      <c r="AE33" s="18" t="n">
        <v>1612</v>
      </c>
      <c r="AF33" s="18" t="n">
        <v>1612</v>
      </c>
      <c r="AG33" s="18" t="n">
        <v>1612</v>
      </c>
      <c r="AH33" s="18" t="n">
        <v>1612</v>
      </c>
      <c r="AI33" s="18" t="n">
        <v>1612</v>
      </c>
      <c r="AJ33" s="18" t="n">
        <v>1612</v>
      </c>
      <c r="AK33" s="18" t="n">
        <v>1612</v>
      </c>
      <c r="AL33" s="18" t="n">
        <v>1612</v>
      </c>
      <c r="AM33" s="18" t="n">
        <v>1612</v>
      </c>
      <c r="AN33" s="18" t="n">
        <v>1612</v>
      </c>
      <c r="AO33" s="18" t="n">
        <v>1612</v>
      </c>
      <c r="AP33" s="18" t="n">
        <v>1612</v>
      </c>
      <c r="AQ33" s="18" t="n">
        <v>1612</v>
      </c>
      <c r="AR33" s="18" t="n">
        <v>1612</v>
      </c>
      <c r="AS33" s="18" t="n">
        <v>1612</v>
      </c>
      <c r="AT33" s="18" t="n">
        <v>1612</v>
      </c>
      <c r="AU33" s="18" t="n">
        <v>1612</v>
      </c>
      <c r="AV33" s="18" t="n">
        <v>1612</v>
      </c>
      <c r="AW33" s="18" t="n">
        <v>1612</v>
      </c>
      <c r="AX33" s="18" t="n">
        <v>11056</v>
      </c>
      <c r="AY33" s="18" t="n">
        <v>14690</v>
      </c>
      <c r="AZ33" s="18" t="n">
        <v>18496</v>
      </c>
      <c r="BA33" s="18" t="n">
        <v>19344</v>
      </c>
    </row>
    <row r="34">
      <c r="A34" s="3" t="inlineStr">
        <is>
          <t xml:space="preserve">  Developer FT (€4K/mo)</t>
        </is>
      </c>
      <c r="B34" s="18" t="n">
        <v>3690</v>
      </c>
      <c r="C34" s="18" t="n">
        <v>3690</v>
      </c>
      <c r="D34" s="18" t="n">
        <v>3690</v>
      </c>
      <c r="E34" s="18" t="n">
        <v>3690</v>
      </c>
      <c r="F34" s="18" t="n">
        <v>3690</v>
      </c>
      <c r="G34" s="18" t="n">
        <v>3690</v>
      </c>
      <c r="H34" s="18" t="n">
        <v>3690</v>
      </c>
      <c r="I34" s="18" t="n">
        <v>3690</v>
      </c>
      <c r="J34" s="18" t="n">
        <v>3690</v>
      </c>
      <c r="K34" s="18" t="n">
        <v>3690</v>
      </c>
      <c r="L34" s="18" t="n">
        <v>3690</v>
      </c>
      <c r="M34" s="18" t="n">
        <v>3690</v>
      </c>
      <c r="N34" s="18" t="n">
        <v>3690</v>
      </c>
      <c r="O34" s="18" t="n">
        <v>3690</v>
      </c>
      <c r="P34" s="18" t="n">
        <v>3690</v>
      </c>
      <c r="Q34" s="18" t="n">
        <v>3690</v>
      </c>
      <c r="R34" s="18" t="n">
        <v>3690</v>
      </c>
      <c r="S34" s="18" t="n">
        <v>3690</v>
      </c>
      <c r="T34" s="18" t="n">
        <v>3690</v>
      </c>
      <c r="U34" s="18" t="n">
        <v>3690</v>
      </c>
      <c r="V34" s="18" t="n">
        <v>3690</v>
      </c>
      <c r="W34" s="18" t="n">
        <v>3690</v>
      </c>
      <c r="X34" s="18" t="n">
        <v>3690</v>
      </c>
      <c r="Y34" s="18" t="n">
        <v>3690</v>
      </c>
      <c r="Z34" s="18" t="n">
        <v>3690</v>
      </c>
      <c r="AA34" s="18" t="n">
        <v>3690</v>
      </c>
      <c r="AB34" s="18" t="n">
        <v>3690</v>
      </c>
      <c r="AC34" s="18" t="n">
        <v>3690</v>
      </c>
      <c r="AD34" s="18" t="n">
        <v>3690</v>
      </c>
      <c r="AE34" s="18" t="n">
        <v>3690</v>
      </c>
      <c r="AF34" s="18" t="n">
        <v>3690</v>
      </c>
      <c r="AG34" s="18" t="n">
        <v>3690</v>
      </c>
      <c r="AH34" s="18" t="n">
        <v>3690</v>
      </c>
      <c r="AI34" s="18" t="n">
        <v>3690</v>
      </c>
      <c r="AJ34" s="18" t="n">
        <v>3690</v>
      </c>
      <c r="AK34" s="18" t="n">
        <v>3690</v>
      </c>
      <c r="AL34" s="18" t="n">
        <v>3690</v>
      </c>
      <c r="AM34" s="18" t="n">
        <v>3690</v>
      </c>
      <c r="AN34" s="18" t="n">
        <v>3690</v>
      </c>
      <c r="AO34" s="18" t="n">
        <v>3690</v>
      </c>
      <c r="AP34" s="18" t="n">
        <v>3690</v>
      </c>
      <c r="AQ34" s="18" t="n">
        <v>3690</v>
      </c>
      <c r="AR34" s="18" t="n">
        <v>3690</v>
      </c>
      <c r="AS34" s="18" t="n">
        <v>3690</v>
      </c>
      <c r="AT34" s="18" t="n">
        <v>3690</v>
      </c>
      <c r="AU34" s="18" t="n">
        <v>3690</v>
      </c>
      <c r="AV34" s="18" t="n">
        <v>3690</v>
      </c>
      <c r="AW34" s="18" t="n">
        <v>3690</v>
      </c>
      <c r="AX34" s="18" t="n">
        <v>44280</v>
      </c>
      <c r="AY34" s="18" t="n">
        <v>44280</v>
      </c>
      <c r="AZ34" s="18" t="n">
        <v>44280</v>
      </c>
      <c r="BA34" s="18" t="n">
        <v>44280</v>
      </c>
    </row>
    <row r="35">
      <c r="A35" s="3" t="inlineStr">
        <is>
          <t xml:space="preserve">  PM PT (€4K/mo)</t>
        </is>
      </c>
      <c r="B35" s="18" t="n">
        <v>3690</v>
      </c>
      <c r="C35" s="18" t="n">
        <v>3690</v>
      </c>
      <c r="D35" s="18" t="n">
        <v>3690</v>
      </c>
      <c r="E35" s="18" t="n">
        <v>3690</v>
      </c>
      <c r="F35" s="18" t="n">
        <v>3690</v>
      </c>
      <c r="G35" s="18" t="n">
        <v>3690</v>
      </c>
      <c r="H35" s="18" t="n">
        <v>3690</v>
      </c>
      <c r="I35" s="18" t="n">
        <v>3690</v>
      </c>
      <c r="J35" s="18" t="n">
        <v>3690</v>
      </c>
      <c r="K35" s="18" t="n">
        <v>3690</v>
      </c>
      <c r="L35" s="18" t="n">
        <v>3690</v>
      </c>
      <c r="M35" s="18" t="n">
        <v>3690</v>
      </c>
      <c r="N35" s="18" t="n">
        <v>3690</v>
      </c>
      <c r="O35" s="18" t="n">
        <v>3690</v>
      </c>
      <c r="P35" s="18" t="n">
        <v>3690</v>
      </c>
      <c r="Q35" s="18" t="n">
        <v>3690</v>
      </c>
      <c r="R35" s="18" t="n">
        <v>3690</v>
      </c>
      <c r="S35" s="18" t="n">
        <v>3690</v>
      </c>
      <c r="T35" s="18" t="n">
        <v>3690</v>
      </c>
      <c r="U35" s="18" t="n">
        <v>3690</v>
      </c>
      <c r="V35" s="18" t="n">
        <v>3690</v>
      </c>
      <c r="W35" s="18" t="n">
        <v>3690</v>
      </c>
      <c r="X35" s="18" t="n">
        <v>3690</v>
      </c>
      <c r="Y35" s="18" t="n">
        <v>3690</v>
      </c>
      <c r="Z35" s="18" t="n">
        <v>3690</v>
      </c>
      <c r="AA35" s="18" t="n">
        <v>3690</v>
      </c>
      <c r="AB35" s="18" t="n">
        <v>3690</v>
      </c>
      <c r="AC35" s="18" t="n">
        <v>3690</v>
      </c>
      <c r="AD35" s="18" t="n">
        <v>3690</v>
      </c>
      <c r="AE35" s="18" t="n">
        <v>3690</v>
      </c>
      <c r="AF35" s="18" t="n">
        <v>3690</v>
      </c>
      <c r="AG35" s="18" t="n">
        <v>3690</v>
      </c>
      <c r="AH35" s="18" t="n">
        <v>3690</v>
      </c>
      <c r="AI35" s="18" t="n">
        <v>3690</v>
      </c>
      <c r="AJ35" s="18" t="n">
        <v>3690</v>
      </c>
      <c r="AK35" s="18" t="n">
        <v>3690</v>
      </c>
      <c r="AL35" s="18" t="n">
        <v>3690</v>
      </c>
      <c r="AM35" s="18" t="n">
        <v>3690</v>
      </c>
      <c r="AN35" s="18" t="n">
        <v>3690</v>
      </c>
      <c r="AO35" s="18" t="n">
        <v>3690</v>
      </c>
      <c r="AP35" s="18" t="n">
        <v>3690</v>
      </c>
      <c r="AQ35" s="18" t="n">
        <v>3690</v>
      </c>
      <c r="AR35" s="18" t="n">
        <v>3690</v>
      </c>
      <c r="AS35" s="18" t="n">
        <v>3690</v>
      </c>
      <c r="AT35" s="18" t="n">
        <v>3690</v>
      </c>
      <c r="AU35" s="18" t="n">
        <v>3690</v>
      </c>
      <c r="AV35" s="18" t="n">
        <v>3690</v>
      </c>
      <c r="AW35" s="18" t="n">
        <v>3690</v>
      </c>
      <c r="AX35" s="18" t="n">
        <v>44280</v>
      </c>
      <c r="AY35" s="18" t="n">
        <v>44280</v>
      </c>
      <c r="AZ35" s="18" t="n">
        <v>44280</v>
      </c>
      <c r="BA35" s="18" t="n">
        <v>44280</v>
      </c>
    </row>
    <row r="36">
      <c r="A36" s="3" t="inlineStr">
        <is>
          <t xml:space="preserve">  CS/Implementation (€5K/mo, M12+)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  <c r="G36" s="18" t="n">
        <v>0</v>
      </c>
      <c r="H36" s="18" t="n">
        <v>0</v>
      </c>
      <c r="I36" s="18" t="n">
        <v>0</v>
      </c>
      <c r="J36" s="18" t="n">
        <v>0</v>
      </c>
      <c r="K36" s="18" t="n">
        <v>0</v>
      </c>
      <c r="L36" s="18" t="n">
        <v>0</v>
      </c>
      <c r="M36" s="18" t="n">
        <v>4612</v>
      </c>
      <c r="N36" s="18" t="n">
        <v>4612</v>
      </c>
      <c r="O36" s="18" t="n">
        <v>4612</v>
      </c>
      <c r="P36" s="18" t="n">
        <v>4612</v>
      </c>
      <c r="Q36" s="18" t="n">
        <v>4612</v>
      </c>
      <c r="R36" s="18" t="n">
        <v>4612</v>
      </c>
      <c r="S36" s="18" t="n">
        <v>4612</v>
      </c>
      <c r="T36" s="18" t="n">
        <v>4612</v>
      </c>
      <c r="U36" s="18" t="n">
        <v>4612</v>
      </c>
      <c r="V36" s="18" t="n">
        <v>4612</v>
      </c>
      <c r="W36" s="18" t="n">
        <v>4612</v>
      </c>
      <c r="X36" s="18" t="n">
        <v>4612</v>
      </c>
      <c r="Y36" s="18" t="n">
        <v>4612</v>
      </c>
      <c r="Z36" s="18" t="n">
        <v>4612</v>
      </c>
      <c r="AA36" s="18" t="n">
        <v>4612</v>
      </c>
      <c r="AB36" s="18" t="n">
        <v>4612</v>
      </c>
      <c r="AC36" s="18" t="n">
        <v>4612</v>
      </c>
      <c r="AD36" s="18" t="n">
        <v>4612</v>
      </c>
      <c r="AE36" s="18" t="n">
        <v>4612</v>
      </c>
      <c r="AF36" s="18" t="n">
        <v>4612</v>
      </c>
      <c r="AG36" s="18" t="n">
        <v>4612</v>
      </c>
      <c r="AH36" s="18" t="n">
        <v>4612</v>
      </c>
      <c r="AI36" s="18" t="n">
        <v>4612</v>
      </c>
      <c r="AJ36" s="18" t="n">
        <v>4612</v>
      </c>
      <c r="AK36" s="18" t="n">
        <v>4612</v>
      </c>
      <c r="AL36" s="18" t="n">
        <v>4612</v>
      </c>
      <c r="AM36" s="18" t="n">
        <v>4612</v>
      </c>
      <c r="AN36" s="18" t="n">
        <v>4612</v>
      </c>
      <c r="AO36" s="18" t="n">
        <v>4612</v>
      </c>
      <c r="AP36" s="18" t="n">
        <v>4612</v>
      </c>
      <c r="AQ36" s="18" t="n">
        <v>4612</v>
      </c>
      <c r="AR36" s="18" t="n">
        <v>4612</v>
      </c>
      <c r="AS36" s="18" t="n">
        <v>4612</v>
      </c>
      <c r="AT36" s="18" t="n">
        <v>4612</v>
      </c>
      <c r="AU36" s="18" t="n">
        <v>4612</v>
      </c>
      <c r="AV36" s="18" t="n">
        <v>4612</v>
      </c>
      <c r="AW36" s="18" t="n">
        <v>4612</v>
      </c>
      <c r="AX36" s="18" t="n">
        <v>4612</v>
      </c>
      <c r="AY36" s="18" t="n">
        <v>55344</v>
      </c>
      <c r="AZ36" s="18" t="n">
        <v>55344</v>
      </c>
      <c r="BA36" s="18" t="n">
        <v>55344</v>
      </c>
    </row>
    <row r="37">
      <c r="A37" s="3" t="inlineStr">
        <is>
          <t xml:space="preserve">  Senior Engineer (€7K/mo, M18+)</t>
        </is>
      </c>
      <c r="B37" s="18" t="n">
        <v>0</v>
      </c>
      <c r="C37" s="18" t="n">
        <v>0</v>
      </c>
      <c r="D37" s="18" t="n">
        <v>0</v>
      </c>
      <c r="E37" s="18" t="n">
        <v>0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0</v>
      </c>
      <c r="L37" s="18" t="n">
        <v>0</v>
      </c>
      <c r="M37" s="18" t="n">
        <v>0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0</v>
      </c>
      <c r="S37" s="18" t="n">
        <v>6457</v>
      </c>
      <c r="T37" s="18" t="n">
        <v>6457</v>
      </c>
      <c r="U37" s="18" t="n">
        <v>6457</v>
      </c>
      <c r="V37" s="18" t="n">
        <v>6457</v>
      </c>
      <c r="W37" s="18" t="n">
        <v>6457</v>
      </c>
      <c r="X37" s="18" t="n">
        <v>6457</v>
      </c>
      <c r="Y37" s="18" t="n">
        <v>6457</v>
      </c>
      <c r="Z37" s="18" t="n">
        <v>6457</v>
      </c>
      <c r="AA37" s="18" t="n">
        <v>6457</v>
      </c>
      <c r="AB37" s="18" t="n">
        <v>6457</v>
      </c>
      <c r="AC37" s="18" t="n">
        <v>6457</v>
      </c>
      <c r="AD37" s="18" t="n">
        <v>6457</v>
      </c>
      <c r="AE37" s="18" t="n">
        <v>6457</v>
      </c>
      <c r="AF37" s="18" t="n">
        <v>6457</v>
      </c>
      <c r="AG37" s="18" t="n">
        <v>6457</v>
      </c>
      <c r="AH37" s="18" t="n">
        <v>6457</v>
      </c>
      <c r="AI37" s="18" t="n">
        <v>6457</v>
      </c>
      <c r="AJ37" s="18" t="n">
        <v>6457</v>
      </c>
      <c r="AK37" s="18" t="n">
        <v>6457</v>
      </c>
      <c r="AL37" s="18" t="n">
        <v>6457</v>
      </c>
      <c r="AM37" s="18" t="n">
        <v>6457</v>
      </c>
      <c r="AN37" s="18" t="n">
        <v>6457</v>
      </c>
      <c r="AO37" s="18" t="n">
        <v>6457</v>
      </c>
      <c r="AP37" s="18" t="n">
        <v>6457</v>
      </c>
      <c r="AQ37" s="18" t="n">
        <v>6457</v>
      </c>
      <c r="AR37" s="18" t="n">
        <v>6457</v>
      </c>
      <c r="AS37" s="18" t="n">
        <v>6457</v>
      </c>
      <c r="AT37" s="18" t="n">
        <v>6457</v>
      </c>
      <c r="AU37" s="18" t="n">
        <v>6457</v>
      </c>
      <c r="AV37" s="18" t="n">
        <v>6457</v>
      </c>
      <c r="AW37" s="18" t="n">
        <v>6457</v>
      </c>
      <c r="AX37" s="18" t="n">
        <v>0</v>
      </c>
      <c r="AY37" s="18" t="n">
        <v>45199</v>
      </c>
      <c r="AZ37" s="18" t="n">
        <v>77484</v>
      </c>
      <c r="BA37" s="18" t="n">
        <v>77484</v>
      </c>
    </row>
    <row r="38">
      <c r="A38" s="3" t="inlineStr">
        <is>
          <t xml:space="preserve">  Sales/BD (€6K/mo, M18+)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18" t="n">
        <v>0</v>
      </c>
      <c r="L38" s="18" t="n">
        <v>0</v>
      </c>
      <c r="M38" s="18" t="n">
        <v>0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0</v>
      </c>
      <c r="S38" s="18" t="n">
        <v>5534</v>
      </c>
      <c r="T38" s="18" t="n">
        <v>5534</v>
      </c>
      <c r="U38" s="18" t="n">
        <v>5534</v>
      </c>
      <c r="V38" s="18" t="n">
        <v>5534</v>
      </c>
      <c r="W38" s="18" t="n">
        <v>5534</v>
      </c>
      <c r="X38" s="18" t="n">
        <v>5534</v>
      </c>
      <c r="Y38" s="18" t="n">
        <v>5534</v>
      </c>
      <c r="Z38" s="18" t="n">
        <v>5534</v>
      </c>
      <c r="AA38" s="18" t="n">
        <v>5534</v>
      </c>
      <c r="AB38" s="18" t="n">
        <v>5534</v>
      </c>
      <c r="AC38" s="18" t="n">
        <v>5534</v>
      </c>
      <c r="AD38" s="18" t="n">
        <v>5534</v>
      </c>
      <c r="AE38" s="18" t="n">
        <v>5534</v>
      </c>
      <c r="AF38" s="18" t="n">
        <v>5534</v>
      </c>
      <c r="AG38" s="18" t="n">
        <v>5534</v>
      </c>
      <c r="AH38" s="18" t="n">
        <v>5534</v>
      </c>
      <c r="AI38" s="18" t="n">
        <v>5534</v>
      </c>
      <c r="AJ38" s="18" t="n">
        <v>5534</v>
      </c>
      <c r="AK38" s="18" t="n">
        <v>5534</v>
      </c>
      <c r="AL38" s="18" t="n">
        <v>5534</v>
      </c>
      <c r="AM38" s="18" t="n">
        <v>5534</v>
      </c>
      <c r="AN38" s="18" t="n">
        <v>5534</v>
      </c>
      <c r="AO38" s="18" t="n">
        <v>5534</v>
      </c>
      <c r="AP38" s="18" t="n">
        <v>5534</v>
      </c>
      <c r="AQ38" s="18" t="n">
        <v>5534</v>
      </c>
      <c r="AR38" s="18" t="n">
        <v>5534</v>
      </c>
      <c r="AS38" s="18" t="n">
        <v>5534</v>
      </c>
      <c r="AT38" s="18" t="n">
        <v>5534</v>
      </c>
      <c r="AU38" s="18" t="n">
        <v>5534</v>
      </c>
      <c r="AV38" s="18" t="n">
        <v>5534</v>
      </c>
      <c r="AW38" s="18" t="n">
        <v>5534</v>
      </c>
      <c r="AX38" s="18" t="n">
        <v>0</v>
      </c>
      <c r="AY38" s="18" t="n">
        <v>38738</v>
      </c>
      <c r="AZ38" s="18" t="n">
        <v>66408</v>
      </c>
      <c r="BA38" s="18" t="n">
        <v>66408</v>
      </c>
    </row>
    <row r="39">
      <c r="A39" s="3" t="inlineStr">
        <is>
          <t xml:space="preserve">  Engineer (€6K/mo, M30+)</t>
        </is>
      </c>
      <c r="B39" s="18" t="n">
        <v>0</v>
      </c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18" t="n">
        <v>0</v>
      </c>
      <c r="K39" s="18" t="n">
        <v>0</v>
      </c>
      <c r="L39" s="18" t="n">
        <v>0</v>
      </c>
      <c r="M39" s="18" t="n">
        <v>0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0</v>
      </c>
      <c r="Z39" s="18" t="n">
        <v>0</v>
      </c>
      <c r="AA39" s="18" t="n">
        <v>0</v>
      </c>
      <c r="AB39" s="18" t="n">
        <v>0</v>
      </c>
      <c r="AC39" s="18" t="n">
        <v>0</v>
      </c>
      <c r="AD39" s="18" t="n">
        <v>0</v>
      </c>
      <c r="AE39" s="18" t="n">
        <v>5534</v>
      </c>
      <c r="AF39" s="18" t="n">
        <v>5534</v>
      </c>
      <c r="AG39" s="18" t="n">
        <v>5534</v>
      </c>
      <c r="AH39" s="18" t="n">
        <v>5534</v>
      </c>
      <c r="AI39" s="18" t="n">
        <v>5534</v>
      </c>
      <c r="AJ39" s="18" t="n">
        <v>5534</v>
      </c>
      <c r="AK39" s="18" t="n">
        <v>5534</v>
      </c>
      <c r="AL39" s="18" t="n">
        <v>5534</v>
      </c>
      <c r="AM39" s="18" t="n">
        <v>5534</v>
      </c>
      <c r="AN39" s="18" t="n">
        <v>5534</v>
      </c>
      <c r="AO39" s="18" t="n">
        <v>5534</v>
      </c>
      <c r="AP39" s="18" t="n">
        <v>5534</v>
      </c>
      <c r="AQ39" s="18" t="n">
        <v>5534</v>
      </c>
      <c r="AR39" s="18" t="n">
        <v>5534</v>
      </c>
      <c r="AS39" s="18" t="n">
        <v>5534</v>
      </c>
      <c r="AT39" s="18" t="n">
        <v>5534</v>
      </c>
      <c r="AU39" s="18" t="n">
        <v>5534</v>
      </c>
      <c r="AV39" s="18" t="n">
        <v>5534</v>
      </c>
      <c r="AW39" s="18" t="n">
        <v>5534</v>
      </c>
      <c r="AX39" s="18" t="n">
        <v>0</v>
      </c>
      <c r="AY39" s="18" t="n">
        <v>0</v>
      </c>
      <c r="AZ39" s="18" t="n">
        <v>38738</v>
      </c>
      <c r="BA39" s="18" t="n">
        <v>66408</v>
      </c>
    </row>
    <row r="40">
      <c r="A40" s="3" t="inlineStr">
        <is>
          <t xml:space="preserve">  Marketing (€5K/mo, M36+)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18" t="n">
        <v>0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0</v>
      </c>
      <c r="Z40" s="18" t="n">
        <v>0</v>
      </c>
      <c r="AA40" s="18" t="n">
        <v>0</v>
      </c>
      <c r="AB40" s="18" t="n">
        <v>0</v>
      </c>
      <c r="AC40" s="18" t="n">
        <v>0</v>
      </c>
      <c r="AD40" s="18" t="n">
        <v>0</v>
      </c>
      <c r="AE40" s="18" t="n">
        <v>0</v>
      </c>
      <c r="AF40" s="18" t="n">
        <v>0</v>
      </c>
      <c r="AG40" s="18" t="n">
        <v>0</v>
      </c>
      <c r="AH40" s="18" t="n">
        <v>0</v>
      </c>
      <c r="AI40" s="18" t="n">
        <v>0</v>
      </c>
      <c r="AJ40" s="18" t="n">
        <v>0</v>
      </c>
      <c r="AK40" s="18" t="n">
        <v>4612</v>
      </c>
      <c r="AL40" s="18" t="n">
        <v>4612</v>
      </c>
      <c r="AM40" s="18" t="n">
        <v>4612</v>
      </c>
      <c r="AN40" s="18" t="n">
        <v>4612</v>
      </c>
      <c r="AO40" s="18" t="n">
        <v>4612</v>
      </c>
      <c r="AP40" s="18" t="n">
        <v>4612</v>
      </c>
      <c r="AQ40" s="18" t="n">
        <v>4612</v>
      </c>
      <c r="AR40" s="18" t="n">
        <v>4612</v>
      </c>
      <c r="AS40" s="18" t="n">
        <v>4612</v>
      </c>
      <c r="AT40" s="18" t="n">
        <v>4612</v>
      </c>
      <c r="AU40" s="18" t="n">
        <v>4612</v>
      </c>
      <c r="AV40" s="18" t="n">
        <v>4612</v>
      </c>
      <c r="AW40" s="18" t="n">
        <v>4612</v>
      </c>
      <c r="AX40" s="18" t="n">
        <v>0</v>
      </c>
      <c r="AY40" s="18" t="n">
        <v>0</v>
      </c>
      <c r="AZ40" s="18" t="n">
        <v>4612</v>
      </c>
      <c r="BA40" s="18" t="n">
        <v>55344</v>
      </c>
    </row>
    <row r="41">
      <c r="A41" s="5" t="inlineStr">
        <is>
          <t xml:space="preserve">  — AI &amp; Technology</t>
        </is>
      </c>
    </row>
    <row r="42">
      <c r="A42" s="3" t="inlineStr">
        <is>
          <t xml:space="preserve">  AI COGS (€50/hotel/mo)</t>
        </is>
      </c>
      <c r="B42" s="18" t="n">
        <v>0</v>
      </c>
      <c r="C42" s="18" t="n">
        <v>0</v>
      </c>
      <c r="D42" s="18" t="n">
        <v>0</v>
      </c>
      <c r="E42" s="18" t="n">
        <v>138</v>
      </c>
      <c r="F42" s="18" t="n">
        <v>138</v>
      </c>
      <c r="G42" s="18" t="n">
        <v>553</v>
      </c>
      <c r="H42" s="18" t="n">
        <v>646</v>
      </c>
      <c r="I42" s="18" t="n">
        <v>738</v>
      </c>
      <c r="J42" s="18" t="n">
        <v>830</v>
      </c>
      <c r="K42" s="18" t="n">
        <v>922</v>
      </c>
      <c r="L42" s="18" t="n">
        <v>1015</v>
      </c>
      <c r="M42" s="18" t="n">
        <v>2075</v>
      </c>
      <c r="N42" s="18" t="n">
        <v>2168</v>
      </c>
      <c r="O42" s="18" t="n">
        <v>2260</v>
      </c>
      <c r="P42" s="18" t="n">
        <v>2490</v>
      </c>
      <c r="Q42" s="18" t="n">
        <v>2583</v>
      </c>
      <c r="R42" s="18" t="n">
        <v>3182</v>
      </c>
      <c r="S42" s="18" t="n">
        <v>3643</v>
      </c>
      <c r="T42" s="18" t="n">
        <v>3874</v>
      </c>
      <c r="U42" s="18" t="n">
        <v>3966</v>
      </c>
      <c r="V42" s="18" t="n">
        <v>4381</v>
      </c>
      <c r="W42" s="18" t="n">
        <v>4474</v>
      </c>
      <c r="X42" s="18" t="n">
        <v>5811</v>
      </c>
      <c r="Y42" s="18" t="n">
        <v>6088</v>
      </c>
      <c r="Z42" s="18" t="n">
        <v>6272</v>
      </c>
      <c r="AA42" s="18" t="n">
        <v>6365</v>
      </c>
      <c r="AB42" s="18" t="n">
        <v>7425</v>
      </c>
      <c r="AC42" s="18" t="n">
        <v>7518</v>
      </c>
      <c r="AD42" s="18" t="n">
        <v>8255</v>
      </c>
      <c r="AE42" s="18" t="n">
        <v>8348</v>
      </c>
      <c r="AF42" s="18" t="n">
        <v>9040</v>
      </c>
      <c r="AG42" s="18" t="n">
        <v>9132</v>
      </c>
      <c r="AH42" s="18" t="n">
        <v>9593</v>
      </c>
      <c r="AI42" s="18" t="n">
        <v>9685</v>
      </c>
      <c r="AJ42" s="18" t="n">
        <v>10608</v>
      </c>
      <c r="AK42" s="18" t="n">
        <v>10700</v>
      </c>
      <c r="AL42" s="18" t="n">
        <v>11392</v>
      </c>
      <c r="AM42" s="18" t="n">
        <v>11484</v>
      </c>
      <c r="AN42" s="18" t="n">
        <v>12130</v>
      </c>
      <c r="AO42" s="18" t="n">
        <v>12222</v>
      </c>
      <c r="AP42" s="18" t="n">
        <v>12545</v>
      </c>
      <c r="AQ42" s="18" t="n">
        <v>12637</v>
      </c>
      <c r="AR42" s="18" t="n">
        <v>13882</v>
      </c>
      <c r="AS42" s="18" t="n">
        <v>13974</v>
      </c>
      <c r="AT42" s="18" t="n">
        <v>14436</v>
      </c>
      <c r="AU42" s="18" t="n">
        <v>14528</v>
      </c>
      <c r="AV42" s="18" t="n">
        <v>15266</v>
      </c>
      <c r="AW42" s="18" t="n">
        <v>15358</v>
      </c>
      <c r="AX42" s="18" t="n">
        <v>7055</v>
      </c>
      <c r="AY42" s="18" t="n">
        <v>44920</v>
      </c>
      <c r="AZ42" s="18" t="n">
        <v>102941</v>
      </c>
      <c r="BA42" s="18" t="n">
        <v>159854</v>
      </c>
    </row>
    <row r="43">
      <c r="A43" s="3" t="inlineStr">
        <is>
          <t xml:space="preserve">  Claude Code Max 20x ($200)</t>
        </is>
      </c>
      <c r="B43" s="18" t="n">
        <v>160</v>
      </c>
      <c r="C43" s="18" t="n">
        <v>160</v>
      </c>
      <c r="D43" s="18" t="n">
        <v>160</v>
      </c>
      <c r="E43" s="18" t="n">
        <v>160</v>
      </c>
      <c r="F43" s="18" t="n">
        <v>160</v>
      </c>
      <c r="G43" s="18" t="n">
        <v>160</v>
      </c>
      <c r="H43" s="18" t="n">
        <v>160</v>
      </c>
      <c r="I43" s="18" t="n">
        <v>160</v>
      </c>
      <c r="J43" s="18" t="n">
        <v>160</v>
      </c>
      <c r="K43" s="18" t="n">
        <v>160</v>
      </c>
      <c r="L43" s="18" t="n">
        <v>160</v>
      </c>
      <c r="M43" s="18" t="n">
        <v>160</v>
      </c>
      <c r="N43" s="18" t="n">
        <v>160</v>
      </c>
      <c r="O43" s="18" t="n">
        <v>160</v>
      </c>
      <c r="P43" s="18" t="n">
        <v>160</v>
      </c>
      <c r="Q43" s="18" t="n">
        <v>160</v>
      </c>
      <c r="R43" s="18" t="n">
        <v>160</v>
      </c>
      <c r="S43" s="18" t="n">
        <v>160</v>
      </c>
      <c r="T43" s="18" t="n">
        <v>160</v>
      </c>
      <c r="U43" s="18" t="n">
        <v>160</v>
      </c>
      <c r="V43" s="18" t="n">
        <v>160</v>
      </c>
      <c r="W43" s="18" t="n">
        <v>160</v>
      </c>
      <c r="X43" s="18" t="n">
        <v>160</v>
      </c>
      <c r="Y43" s="18" t="n">
        <v>160</v>
      </c>
      <c r="Z43" s="18" t="n">
        <v>160</v>
      </c>
      <c r="AA43" s="18" t="n">
        <v>160</v>
      </c>
      <c r="AB43" s="18" t="n">
        <v>160</v>
      </c>
      <c r="AC43" s="18" t="n">
        <v>160</v>
      </c>
      <c r="AD43" s="18" t="n">
        <v>160</v>
      </c>
      <c r="AE43" s="18" t="n">
        <v>160</v>
      </c>
      <c r="AF43" s="18" t="n">
        <v>160</v>
      </c>
      <c r="AG43" s="18" t="n">
        <v>160</v>
      </c>
      <c r="AH43" s="18" t="n">
        <v>160</v>
      </c>
      <c r="AI43" s="18" t="n">
        <v>160</v>
      </c>
      <c r="AJ43" s="18" t="n">
        <v>160</v>
      </c>
      <c r="AK43" s="18" t="n">
        <v>160</v>
      </c>
      <c r="AL43" s="18" t="n">
        <v>160</v>
      </c>
      <c r="AM43" s="18" t="n">
        <v>160</v>
      </c>
      <c r="AN43" s="18" t="n">
        <v>160</v>
      </c>
      <c r="AO43" s="18" t="n">
        <v>160</v>
      </c>
      <c r="AP43" s="18" t="n">
        <v>160</v>
      </c>
      <c r="AQ43" s="18" t="n">
        <v>160</v>
      </c>
      <c r="AR43" s="18" t="n">
        <v>160</v>
      </c>
      <c r="AS43" s="18" t="n">
        <v>160</v>
      </c>
      <c r="AT43" s="18" t="n">
        <v>160</v>
      </c>
      <c r="AU43" s="18" t="n">
        <v>160</v>
      </c>
      <c r="AV43" s="18" t="n">
        <v>160</v>
      </c>
      <c r="AW43" s="18" t="n">
        <v>160</v>
      </c>
      <c r="AX43" s="18" t="n">
        <v>1920</v>
      </c>
      <c r="AY43" s="18" t="n">
        <v>1920</v>
      </c>
      <c r="AZ43" s="18" t="n">
        <v>1920</v>
      </c>
      <c r="BA43" s="18" t="n">
        <v>1920</v>
      </c>
    </row>
    <row r="44">
      <c r="A44" s="3" t="inlineStr">
        <is>
          <t xml:space="preserve">  OpenAI Codex Pro ($200)</t>
        </is>
      </c>
      <c r="B44" s="18" t="n">
        <v>160</v>
      </c>
      <c r="C44" s="18" t="n">
        <v>160</v>
      </c>
      <c r="D44" s="18" t="n">
        <v>160</v>
      </c>
      <c r="E44" s="18" t="n">
        <v>160</v>
      </c>
      <c r="F44" s="18" t="n">
        <v>160</v>
      </c>
      <c r="G44" s="18" t="n">
        <v>160</v>
      </c>
      <c r="H44" s="18" t="n">
        <v>160</v>
      </c>
      <c r="I44" s="18" t="n">
        <v>160</v>
      </c>
      <c r="J44" s="18" t="n">
        <v>160</v>
      </c>
      <c r="K44" s="18" t="n">
        <v>160</v>
      </c>
      <c r="L44" s="18" t="n">
        <v>160</v>
      </c>
      <c r="M44" s="18" t="n">
        <v>160</v>
      </c>
      <c r="N44" s="18" t="n">
        <v>160</v>
      </c>
      <c r="O44" s="18" t="n">
        <v>160</v>
      </c>
      <c r="P44" s="18" t="n">
        <v>160</v>
      </c>
      <c r="Q44" s="18" t="n">
        <v>160</v>
      </c>
      <c r="R44" s="18" t="n">
        <v>160</v>
      </c>
      <c r="S44" s="18" t="n">
        <v>160</v>
      </c>
      <c r="T44" s="18" t="n">
        <v>160</v>
      </c>
      <c r="U44" s="18" t="n">
        <v>160</v>
      </c>
      <c r="V44" s="18" t="n">
        <v>160</v>
      </c>
      <c r="W44" s="18" t="n">
        <v>160</v>
      </c>
      <c r="X44" s="18" t="n">
        <v>160</v>
      </c>
      <c r="Y44" s="18" t="n">
        <v>160</v>
      </c>
      <c r="Z44" s="18" t="n">
        <v>160</v>
      </c>
      <c r="AA44" s="18" t="n">
        <v>160</v>
      </c>
      <c r="AB44" s="18" t="n">
        <v>160</v>
      </c>
      <c r="AC44" s="18" t="n">
        <v>160</v>
      </c>
      <c r="AD44" s="18" t="n">
        <v>160</v>
      </c>
      <c r="AE44" s="18" t="n">
        <v>160</v>
      </c>
      <c r="AF44" s="18" t="n">
        <v>160</v>
      </c>
      <c r="AG44" s="18" t="n">
        <v>160</v>
      </c>
      <c r="AH44" s="18" t="n">
        <v>160</v>
      </c>
      <c r="AI44" s="18" t="n">
        <v>160</v>
      </c>
      <c r="AJ44" s="18" t="n">
        <v>160</v>
      </c>
      <c r="AK44" s="18" t="n">
        <v>160</v>
      </c>
      <c r="AL44" s="18" t="n">
        <v>160</v>
      </c>
      <c r="AM44" s="18" t="n">
        <v>160</v>
      </c>
      <c r="AN44" s="18" t="n">
        <v>160</v>
      </c>
      <c r="AO44" s="18" t="n">
        <v>160</v>
      </c>
      <c r="AP44" s="18" t="n">
        <v>160</v>
      </c>
      <c r="AQ44" s="18" t="n">
        <v>160</v>
      </c>
      <c r="AR44" s="18" t="n">
        <v>160</v>
      </c>
      <c r="AS44" s="18" t="n">
        <v>160</v>
      </c>
      <c r="AT44" s="18" t="n">
        <v>160</v>
      </c>
      <c r="AU44" s="18" t="n">
        <v>160</v>
      </c>
      <c r="AV44" s="18" t="n">
        <v>160</v>
      </c>
      <c r="AW44" s="18" t="n">
        <v>160</v>
      </c>
      <c r="AX44" s="18" t="n">
        <v>1920</v>
      </c>
      <c r="AY44" s="18" t="n">
        <v>1920</v>
      </c>
      <c r="AZ44" s="18" t="n">
        <v>1920</v>
      </c>
      <c r="BA44" s="18" t="n">
        <v>1920</v>
      </c>
    </row>
    <row r="45">
      <c r="A45" s="3" t="inlineStr">
        <is>
          <t xml:space="preserve">  Perplexity Max ($200)</t>
        </is>
      </c>
      <c r="B45" s="18" t="n">
        <v>160</v>
      </c>
      <c r="C45" s="18" t="n">
        <v>160</v>
      </c>
      <c r="D45" s="18" t="n">
        <v>160</v>
      </c>
      <c r="E45" s="18" t="n">
        <v>160</v>
      </c>
      <c r="F45" s="18" t="n">
        <v>160</v>
      </c>
      <c r="G45" s="18" t="n">
        <v>160</v>
      </c>
      <c r="H45" s="18" t="n">
        <v>160</v>
      </c>
      <c r="I45" s="18" t="n">
        <v>160</v>
      </c>
      <c r="J45" s="18" t="n">
        <v>160</v>
      </c>
      <c r="K45" s="18" t="n">
        <v>160</v>
      </c>
      <c r="L45" s="18" t="n">
        <v>160</v>
      </c>
      <c r="M45" s="18" t="n">
        <v>160</v>
      </c>
      <c r="N45" s="18" t="n">
        <v>160</v>
      </c>
      <c r="O45" s="18" t="n">
        <v>160</v>
      </c>
      <c r="P45" s="18" t="n">
        <v>160</v>
      </c>
      <c r="Q45" s="18" t="n">
        <v>160</v>
      </c>
      <c r="R45" s="18" t="n">
        <v>160</v>
      </c>
      <c r="S45" s="18" t="n">
        <v>160</v>
      </c>
      <c r="T45" s="18" t="n">
        <v>160</v>
      </c>
      <c r="U45" s="18" t="n">
        <v>160</v>
      </c>
      <c r="V45" s="18" t="n">
        <v>160</v>
      </c>
      <c r="W45" s="18" t="n">
        <v>160</v>
      </c>
      <c r="X45" s="18" t="n">
        <v>160</v>
      </c>
      <c r="Y45" s="18" t="n">
        <v>160</v>
      </c>
      <c r="Z45" s="18" t="n">
        <v>160</v>
      </c>
      <c r="AA45" s="18" t="n">
        <v>160</v>
      </c>
      <c r="AB45" s="18" t="n">
        <v>160</v>
      </c>
      <c r="AC45" s="18" t="n">
        <v>160</v>
      </c>
      <c r="AD45" s="18" t="n">
        <v>160</v>
      </c>
      <c r="AE45" s="18" t="n">
        <v>160</v>
      </c>
      <c r="AF45" s="18" t="n">
        <v>160</v>
      </c>
      <c r="AG45" s="18" t="n">
        <v>160</v>
      </c>
      <c r="AH45" s="18" t="n">
        <v>160</v>
      </c>
      <c r="AI45" s="18" t="n">
        <v>160</v>
      </c>
      <c r="AJ45" s="18" t="n">
        <v>160</v>
      </c>
      <c r="AK45" s="18" t="n">
        <v>160</v>
      </c>
      <c r="AL45" s="18" t="n">
        <v>160</v>
      </c>
      <c r="AM45" s="18" t="n">
        <v>160</v>
      </c>
      <c r="AN45" s="18" t="n">
        <v>160</v>
      </c>
      <c r="AO45" s="18" t="n">
        <v>160</v>
      </c>
      <c r="AP45" s="18" t="n">
        <v>160</v>
      </c>
      <c r="AQ45" s="18" t="n">
        <v>160</v>
      </c>
      <c r="AR45" s="18" t="n">
        <v>160</v>
      </c>
      <c r="AS45" s="18" t="n">
        <v>160</v>
      </c>
      <c r="AT45" s="18" t="n">
        <v>160</v>
      </c>
      <c r="AU45" s="18" t="n">
        <v>160</v>
      </c>
      <c r="AV45" s="18" t="n">
        <v>160</v>
      </c>
      <c r="AW45" s="18" t="n">
        <v>160</v>
      </c>
      <c r="AX45" s="18" t="n">
        <v>1920</v>
      </c>
      <c r="AY45" s="18" t="n">
        <v>1920</v>
      </c>
      <c r="AZ45" s="18" t="n">
        <v>1920</v>
      </c>
      <c r="BA45" s="18" t="n">
        <v>1920</v>
      </c>
    </row>
    <row r="46">
      <c r="A46" s="5" t="inlineStr">
        <is>
          <t xml:space="preserve">  — Infrastructure (SaaS)</t>
        </is>
      </c>
    </row>
    <row r="47">
      <c r="A47" s="3" t="inlineStr">
        <is>
          <t xml:space="preserve">  Supabase Pro + compute</t>
        </is>
      </c>
      <c r="B47" s="18" t="n">
        <v>60</v>
      </c>
      <c r="C47" s="18" t="n">
        <v>60</v>
      </c>
      <c r="D47" s="18" t="n">
        <v>60</v>
      </c>
      <c r="E47" s="18" t="n">
        <v>60</v>
      </c>
      <c r="F47" s="18" t="n">
        <v>60</v>
      </c>
      <c r="G47" s="18" t="n">
        <v>60</v>
      </c>
      <c r="H47" s="18" t="n">
        <v>60</v>
      </c>
      <c r="I47" s="18" t="n">
        <v>60</v>
      </c>
      <c r="J47" s="18" t="n">
        <v>60</v>
      </c>
      <c r="K47" s="18" t="n">
        <v>60</v>
      </c>
      <c r="L47" s="18" t="n">
        <v>60</v>
      </c>
      <c r="M47" s="18" t="n">
        <v>60</v>
      </c>
      <c r="N47" s="18" t="n">
        <v>88</v>
      </c>
      <c r="O47" s="18" t="n">
        <v>88</v>
      </c>
      <c r="P47" s="18" t="n">
        <v>88</v>
      </c>
      <c r="Q47" s="18" t="n">
        <v>88</v>
      </c>
      <c r="R47" s="18" t="n">
        <v>88</v>
      </c>
      <c r="S47" s="18" t="n">
        <v>88</v>
      </c>
      <c r="T47" s="18" t="n">
        <v>88</v>
      </c>
      <c r="U47" s="18" t="n">
        <v>88</v>
      </c>
      <c r="V47" s="18" t="n">
        <v>88</v>
      </c>
      <c r="W47" s="18" t="n">
        <v>88</v>
      </c>
      <c r="X47" s="18" t="n">
        <v>88</v>
      </c>
      <c r="Y47" s="18" t="n">
        <v>88</v>
      </c>
      <c r="Z47" s="18" t="n">
        <v>120</v>
      </c>
      <c r="AA47" s="18" t="n">
        <v>120</v>
      </c>
      <c r="AB47" s="18" t="n">
        <v>120</v>
      </c>
      <c r="AC47" s="18" t="n">
        <v>120</v>
      </c>
      <c r="AD47" s="18" t="n">
        <v>120</v>
      </c>
      <c r="AE47" s="18" t="n">
        <v>120</v>
      </c>
      <c r="AF47" s="18" t="n">
        <v>120</v>
      </c>
      <c r="AG47" s="18" t="n">
        <v>120</v>
      </c>
      <c r="AH47" s="18" t="n">
        <v>120</v>
      </c>
      <c r="AI47" s="18" t="n">
        <v>120</v>
      </c>
      <c r="AJ47" s="18" t="n">
        <v>120</v>
      </c>
      <c r="AK47" s="18" t="n">
        <v>120</v>
      </c>
      <c r="AL47" s="18" t="n">
        <v>160</v>
      </c>
      <c r="AM47" s="18" t="n">
        <v>160</v>
      </c>
      <c r="AN47" s="18" t="n">
        <v>160</v>
      </c>
      <c r="AO47" s="18" t="n">
        <v>160</v>
      </c>
      <c r="AP47" s="18" t="n">
        <v>160</v>
      </c>
      <c r="AQ47" s="18" t="n">
        <v>160</v>
      </c>
      <c r="AR47" s="18" t="n">
        <v>160</v>
      </c>
      <c r="AS47" s="18" t="n">
        <v>160</v>
      </c>
      <c r="AT47" s="18" t="n">
        <v>160</v>
      </c>
      <c r="AU47" s="18" t="n">
        <v>160</v>
      </c>
      <c r="AV47" s="18" t="n">
        <v>160</v>
      </c>
      <c r="AW47" s="18" t="n">
        <v>160</v>
      </c>
      <c r="AX47" s="18" t="n">
        <v>720</v>
      </c>
      <c r="AY47" s="18" t="n">
        <v>1056</v>
      </c>
      <c r="AZ47" s="18" t="n">
        <v>1440</v>
      </c>
      <c r="BA47" s="18" t="n">
        <v>1920</v>
      </c>
    </row>
    <row r="48">
      <c r="A48" s="3" t="inlineStr">
        <is>
          <t xml:space="preserve">  Vercel Pro</t>
        </is>
      </c>
      <c r="B48" s="18" t="n">
        <v>120</v>
      </c>
      <c r="C48" s="18" t="n">
        <v>120</v>
      </c>
      <c r="D48" s="18" t="n">
        <v>120</v>
      </c>
      <c r="E48" s="18" t="n">
        <v>120</v>
      </c>
      <c r="F48" s="18" t="n">
        <v>120</v>
      </c>
      <c r="G48" s="18" t="n">
        <v>120</v>
      </c>
      <c r="H48" s="18" t="n">
        <v>120</v>
      </c>
      <c r="I48" s="18" t="n">
        <v>120</v>
      </c>
      <c r="J48" s="18" t="n">
        <v>120</v>
      </c>
      <c r="K48" s="18" t="n">
        <v>120</v>
      </c>
      <c r="L48" s="18" t="n">
        <v>120</v>
      </c>
      <c r="M48" s="18" t="n">
        <v>120</v>
      </c>
      <c r="N48" s="18" t="n">
        <v>160</v>
      </c>
      <c r="O48" s="18" t="n">
        <v>160</v>
      </c>
      <c r="P48" s="18" t="n">
        <v>160</v>
      </c>
      <c r="Q48" s="18" t="n">
        <v>160</v>
      </c>
      <c r="R48" s="18" t="n">
        <v>160</v>
      </c>
      <c r="S48" s="18" t="n">
        <v>160</v>
      </c>
      <c r="T48" s="18" t="n">
        <v>160</v>
      </c>
      <c r="U48" s="18" t="n">
        <v>160</v>
      </c>
      <c r="V48" s="18" t="n">
        <v>160</v>
      </c>
      <c r="W48" s="18" t="n">
        <v>160</v>
      </c>
      <c r="X48" s="18" t="n">
        <v>160</v>
      </c>
      <c r="Y48" s="18" t="n">
        <v>160</v>
      </c>
      <c r="Z48" s="18" t="n">
        <v>240</v>
      </c>
      <c r="AA48" s="18" t="n">
        <v>240</v>
      </c>
      <c r="AB48" s="18" t="n">
        <v>240</v>
      </c>
      <c r="AC48" s="18" t="n">
        <v>240</v>
      </c>
      <c r="AD48" s="18" t="n">
        <v>240</v>
      </c>
      <c r="AE48" s="18" t="n">
        <v>240</v>
      </c>
      <c r="AF48" s="18" t="n">
        <v>240</v>
      </c>
      <c r="AG48" s="18" t="n">
        <v>240</v>
      </c>
      <c r="AH48" s="18" t="n">
        <v>240</v>
      </c>
      <c r="AI48" s="18" t="n">
        <v>240</v>
      </c>
      <c r="AJ48" s="18" t="n">
        <v>240</v>
      </c>
      <c r="AK48" s="18" t="n">
        <v>240</v>
      </c>
      <c r="AL48" s="18" t="n">
        <v>320</v>
      </c>
      <c r="AM48" s="18" t="n">
        <v>320</v>
      </c>
      <c r="AN48" s="18" t="n">
        <v>320</v>
      </c>
      <c r="AO48" s="18" t="n">
        <v>320</v>
      </c>
      <c r="AP48" s="18" t="n">
        <v>320</v>
      </c>
      <c r="AQ48" s="18" t="n">
        <v>320</v>
      </c>
      <c r="AR48" s="18" t="n">
        <v>320</v>
      </c>
      <c r="AS48" s="18" t="n">
        <v>320</v>
      </c>
      <c r="AT48" s="18" t="n">
        <v>320</v>
      </c>
      <c r="AU48" s="18" t="n">
        <v>320</v>
      </c>
      <c r="AV48" s="18" t="n">
        <v>320</v>
      </c>
      <c r="AW48" s="18" t="n">
        <v>320</v>
      </c>
      <c r="AX48" s="18" t="n">
        <v>1440</v>
      </c>
      <c r="AY48" s="18" t="n">
        <v>1920</v>
      </c>
      <c r="AZ48" s="18" t="n">
        <v>2880</v>
      </c>
      <c r="BA48" s="18" t="n">
        <v>3840</v>
      </c>
    </row>
    <row r="49">
      <c r="A49" s="3" t="inlineStr">
        <is>
          <t xml:space="preserve">  DataForSEO usage</t>
        </is>
      </c>
      <c r="B49" s="18" t="n">
        <v>60</v>
      </c>
      <c r="C49" s="18" t="n">
        <v>60</v>
      </c>
      <c r="D49" s="18" t="n">
        <v>60</v>
      </c>
      <c r="E49" s="18" t="n">
        <v>60</v>
      </c>
      <c r="F49" s="18" t="n">
        <v>60</v>
      </c>
      <c r="G49" s="18" t="n">
        <v>60</v>
      </c>
      <c r="H49" s="18" t="n">
        <v>60</v>
      </c>
      <c r="I49" s="18" t="n">
        <v>60</v>
      </c>
      <c r="J49" s="18" t="n">
        <v>60</v>
      </c>
      <c r="K49" s="18" t="n">
        <v>60</v>
      </c>
      <c r="L49" s="18" t="n">
        <v>60</v>
      </c>
      <c r="M49" s="18" t="n">
        <v>60</v>
      </c>
      <c r="N49" s="18" t="n">
        <v>120</v>
      </c>
      <c r="O49" s="18" t="n">
        <v>120</v>
      </c>
      <c r="P49" s="18" t="n">
        <v>120</v>
      </c>
      <c r="Q49" s="18" t="n">
        <v>120</v>
      </c>
      <c r="R49" s="18" t="n">
        <v>120</v>
      </c>
      <c r="S49" s="18" t="n">
        <v>120</v>
      </c>
      <c r="T49" s="18" t="n">
        <v>120</v>
      </c>
      <c r="U49" s="18" t="n">
        <v>120</v>
      </c>
      <c r="V49" s="18" t="n">
        <v>120</v>
      </c>
      <c r="W49" s="18" t="n">
        <v>120</v>
      </c>
      <c r="X49" s="18" t="n">
        <v>120</v>
      </c>
      <c r="Y49" s="18" t="n">
        <v>120</v>
      </c>
      <c r="Z49" s="18" t="n">
        <v>160</v>
      </c>
      <c r="AA49" s="18" t="n">
        <v>160</v>
      </c>
      <c r="AB49" s="18" t="n">
        <v>160</v>
      </c>
      <c r="AC49" s="18" t="n">
        <v>160</v>
      </c>
      <c r="AD49" s="18" t="n">
        <v>160</v>
      </c>
      <c r="AE49" s="18" t="n">
        <v>160</v>
      </c>
      <c r="AF49" s="18" t="n">
        <v>160</v>
      </c>
      <c r="AG49" s="18" t="n">
        <v>160</v>
      </c>
      <c r="AH49" s="18" t="n">
        <v>160</v>
      </c>
      <c r="AI49" s="18" t="n">
        <v>160</v>
      </c>
      <c r="AJ49" s="18" t="n">
        <v>160</v>
      </c>
      <c r="AK49" s="18" t="n">
        <v>160</v>
      </c>
      <c r="AL49" s="18" t="n">
        <v>200</v>
      </c>
      <c r="AM49" s="18" t="n">
        <v>200</v>
      </c>
      <c r="AN49" s="18" t="n">
        <v>200</v>
      </c>
      <c r="AO49" s="18" t="n">
        <v>200</v>
      </c>
      <c r="AP49" s="18" t="n">
        <v>200</v>
      </c>
      <c r="AQ49" s="18" t="n">
        <v>200</v>
      </c>
      <c r="AR49" s="18" t="n">
        <v>200</v>
      </c>
      <c r="AS49" s="18" t="n">
        <v>200</v>
      </c>
      <c r="AT49" s="18" t="n">
        <v>200</v>
      </c>
      <c r="AU49" s="18" t="n">
        <v>200</v>
      </c>
      <c r="AV49" s="18" t="n">
        <v>200</v>
      </c>
      <c r="AW49" s="18" t="n">
        <v>200</v>
      </c>
      <c r="AX49" s="18" t="n">
        <v>720</v>
      </c>
      <c r="AY49" s="18" t="n">
        <v>1440</v>
      </c>
      <c r="AZ49" s="18" t="n">
        <v>1920</v>
      </c>
      <c r="BA49" s="18" t="n">
        <v>2400</v>
      </c>
    </row>
    <row r="50">
      <c r="A50" s="3" t="inlineStr">
        <is>
          <t xml:space="preserve">  SerpApi Developer</t>
        </is>
      </c>
      <c r="B50" s="18" t="n">
        <v>60</v>
      </c>
      <c r="C50" s="18" t="n">
        <v>60</v>
      </c>
      <c r="D50" s="18" t="n">
        <v>60</v>
      </c>
      <c r="E50" s="18" t="n">
        <v>60</v>
      </c>
      <c r="F50" s="18" t="n">
        <v>60</v>
      </c>
      <c r="G50" s="18" t="n">
        <v>60</v>
      </c>
      <c r="H50" s="18" t="n">
        <v>60</v>
      </c>
      <c r="I50" s="18" t="n">
        <v>60</v>
      </c>
      <c r="J50" s="18" t="n">
        <v>60</v>
      </c>
      <c r="K50" s="18" t="n">
        <v>60</v>
      </c>
      <c r="L50" s="18" t="n">
        <v>60</v>
      </c>
      <c r="M50" s="18" t="n">
        <v>60</v>
      </c>
      <c r="N50" s="18" t="n">
        <v>60</v>
      </c>
      <c r="O50" s="18" t="n">
        <v>60</v>
      </c>
      <c r="P50" s="18" t="n">
        <v>60</v>
      </c>
      <c r="Q50" s="18" t="n">
        <v>60</v>
      </c>
      <c r="R50" s="18" t="n">
        <v>60</v>
      </c>
      <c r="S50" s="18" t="n">
        <v>60</v>
      </c>
      <c r="T50" s="18" t="n">
        <v>60</v>
      </c>
      <c r="U50" s="18" t="n">
        <v>60</v>
      </c>
      <c r="V50" s="18" t="n">
        <v>60</v>
      </c>
      <c r="W50" s="18" t="n">
        <v>60</v>
      </c>
      <c r="X50" s="18" t="n">
        <v>60</v>
      </c>
      <c r="Y50" s="18" t="n">
        <v>60</v>
      </c>
      <c r="Z50" s="18" t="n">
        <v>120</v>
      </c>
      <c r="AA50" s="18" t="n">
        <v>120</v>
      </c>
      <c r="AB50" s="18" t="n">
        <v>120</v>
      </c>
      <c r="AC50" s="18" t="n">
        <v>120</v>
      </c>
      <c r="AD50" s="18" t="n">
        <v>120</v>
      </c>
      <c r="AE50" s="18" t="n">
        <v>120</v>
      </c>
      <c r="AF50" s="18" t="n">
        <v>120</v>
      </c>
      <c r="AG50" s="18" t="n">
        <v>120</v>
      </c>
      <c r="AH50" s="18" t="n">
        <v>120</v>
      </c>
      <c r="AI50" s="18" t="n">
        <v>120</v>
      </c>
      <c r="AJ50" s="18" t="n">
        <v>120</v>
      </c>
      <c r="AK50" s="18" t="n">
        <v>120</v>
      </c>
      <c r="AL50" s="18" t="n">
        <v>120</v>
      </c>
      <c r="AM50" s="18" t="n">
        <v>120</v>
      </c>
      <c r="AN50" s="18" t="n">
        <v>120</v>
      </c>
      <c r="AO50" s="18" t="n">
        <v>120</v>
      </c>
      <c r="AP50" s="18" t="n">
        <v>120</v>
      </c>
      <c r="AQ50" s="18" t="n">
        <v>120</v>
      </c>
      <c r="AR50" s="18" t="n">
        <v>120</v>
      </c>
      <c r="AS50" s="18" t="n">
        <v>120</v>
      </c>
      <c r="AT50" s="18" t="n">
        <v>120</v>
      </c>
      <c r="AU50" s="18" t="n">
        <v>120</v>
      </c>
      <c r="AV50" s="18" t="n">
        <v>120</v>
      </c>
      <c r="AW50" s="18" t="n">
        <v>120</v>
      </c>
      <c r="AX50" s="18" t="n">
        <v>720</v>
      </c>
      <c r="AY50" s="18" t="n">
        <v>720</v>
      </c>
      <c r="AZ50" s="18" t="n">
        <v>1440</v>
      </c>
      <c r="BA50" s="18" t="n">
        <v>1440</v>
      </c>
    </row>
    <row r="51">
      <c r="A51" s="3" t="inlineStr">
        <is>
          <t xml:space="preserve">  Firecrawl</t>
        </is>
      </c>
      <c r="B51" s="18" t="n">
        <v>38</v>
      </c>
      <c r="C51" s="18" t="n">
        <v>38</v>
      </c>
      <c r="D51" s="18" t="n">
        <v>38</v>
      </c>
      <c r="E51" s="18" t="n">
        <v>38</v>
      </c>
      <c r="F51" s="18" t="n">
        <v>38</v>
      </c>
      <c r="G51" s="18" t="n">
        <v>38</v>
      </c>
      <c r="H51" s="18" t="n">
        <v>38</v>
      </c>
      <c r="I51" s="18" t="n">
        <v>38</v>
      </c>
      <c r="J51" s="18" t="n">
        <v>38</v>
      </c>
      <c r="K51" s="18" t="n">
        <v>38</v>
      </c>
      <c r="L51" s="18" t="n">
        <v>38</v>
      </c>
      <c r="M51" s="18" t="n">
        <v>38</v>
      </c>
      <c r="N51" s="18" t="n">
        <v>38</v>
      </c>
      <c r="O51" s="18" t="n">
        <v>38</v>
      </c>
      <c r="P51" s="18" t="n">
        <v>38</v>
      </c>
      <c r="Q51" s="18" t="n">
        <v>38</v>
      </c>
      <c r="R51" s="18" t="n">
        <v>38</v>
      </c>
      <c r="S51" s="18" t="n">
        <v>38</v>
      </c>
      <c r="T51" s="18" t="n">
        <v>38</v>
      </c>
      <c r="U51" s="18" t="n">
        <v>38</v>
      </c>
      <c r="V51" s="18" t="n">
        <v>38</v>
      </c>
      <c r="W51" s="18" t="n">
        <v>38</v>
      </c>
      <c r="X51" s="18" t="n">
        <v>38</v>
      </c>
      <c r="Y51" s="18" t="n">
        <v>38</v>
      </c>
      <c r="Z51" s="18" t="n">
        <v>38</v>
      </c>
      <c r="AA51" s="18" t="n">
        <v>38</v>
      </c>
      <c r="AB51" s="18" t="n">
        <v>38</v>
      </c>
      <c r="AC51" s="18" t="n">
        <v>38</v>
      </c>
      <c r="AD51" s="18" t="n">
        <v>38</v>
      </c>
      <c r="AE51" s="18" t="n">
        <v>38</v>
      </c>
      <c r="AF51" s="18" t="n">
        <v>38</v>
      </c>
      <c r="AG51" s="18" t="n">
        <v>38</v>
      </c>
      <c r="AH51" s="18" t="n">
        <v>38</v>
      </c>
      <c r="AI51" s="18" t="n">
        <v>38</v>
      </c>
      <c r="AJ51" s="18" t="n">
        <v>38</v>
      </c>
      <c r="AK51" s="18" t="n">
        <v>38</v>
      </c>
      <c r="AL51" s="18" t="n">
        <v>38</v>
      </c>
      <c r="AM51" s="18" t="n">
        <v>38</v>
      </c>
      <c r="AN51" s="18" t="n">
        <v>38</v>
      </c>
      <c r="AO51" s="18" t="n">
        <v>38</v>
      </c>
      <c r="AP51" s="18" t="n">
        <v>38</v>
      </c>
      <c r="AQ51" s="18" t="n">
        <v>38</v>
      </c>
      <c r="AR51" s="18" t="n">
        <v>38</v>
      </c>
      <c r="AS51" s="18" t="n">
        <v>38</v>
      </c>
      <c r="AT51" s="18" t="n">
        <v>38</v>
      </c>
      <c r="AU51" s="18" t="n">
        <v>38</v>
      </c>
      <c r="AV51" s="18" t="n">
        <v>38</v>
      </c>
      <c r="AW51" s="18" t="n">
        <v>38</v>
      </c>
      <c r="AX51" s="18" t="n">
        <v>456</v>
      </c>
      <c r="AY51" s="18" t="n">
        <v>456</v>
      </c>
      <c r="AZ51" s="18" t="n">
        <v>456</v>
      </c>
      <c r="BA51" s="18" t="n">
        <v>456</v>
      </c>
    </row>
    <row r="52">
      <c r="A52" s="3" t="inlineStr">
        <is>
          <t xml:space="preserve">  Google Workspace</t>
        </is>
      </c>
      <c r="B52" s="18" t="n">
        <v>28</v>
      </c>
      <c r="C52" s="18" t="n">
        <v>28</v>
      </c>
      <c r="D52" s="18" t="n">
        <v>28</v>
      </c>
      <c r="E52" s="18" t="n">
        <v>28</v>
      </c>
      <c r="F52" s="18" t="n">
        <v>28</v>
      </c>
      <c r="G52" s="18" t="n">
        <v>28</v>
      </c>
      <c r="H52" s="18" t="n">
        <v>28</v>
      </c>
      <c r="I52" s="18" t="n">
        <v>28</v>
      </c>
      <c r="J52" s="18" t="n">
        <v>28</v>
      </c>
      <c r="K52" s="18" t="n">
        <v>28</v>
      </c>
      <c r="L52" s="18" t="n">
        <v>28</v>
      </c>
      <c r="M52" s="18" t="n">
        <v>28</v>
      </c>
      <c r="N52" s="18" t="n">
        <v>40</v>
      </c>
      <c r="O52" s="18" t="n">
        <v>40</v>
      </c>
      <c r="P52" s="18" t="n">
        <v>40</v>
      </c>
      <c r="Q52" s="18" t="n">
        <v>40</v>
      </c>
      <c r="R52" s="18" t="n">
        <v>40</v>
      </c>
      <c r="S52" s="18" t="n">
        <v>40</v>
      </c>
      <c r="T52" s="18" t="n">
        <v>40</v>
      </c>
      <c r="U52" s="18" t="n">
        <v>40</v>
      </c>
      <c r="V52" s="18" t="n">
        <v>40</v>
      </c>
      <c r="W52" s="18" t="n">
        <v>40</v>
      </c>
      <c r="X52" s="18" t="n">
        <v>40</v>
      </c>
      <c r="Y52" s="18" t="n">
        <v>40</v>
      </c>
      <c r="Z52" s="18" t="n">
        <v>56</v>
      </c>
      <c r="AA52" s="18" t="n">
        <v>56</v>
      </c>
      <c r="AB52" s="18" t="n">
        <v>56</v>
      </c>
      <c r="AC52" s="18" t="n">
        <v>56</v>
      </c>
      <c r="AD52" s="18" t="n">
        <v>56</v>
      </c>
      <c r="AE52" s="18" t="n">
        <v>56</v>
      </c>
      <c r="AF52" s="18" t="n">
        <v>56</v>
      </c>
      <c r="AG52" s="18" t="n">
        <v>56</v>
      </c>
      <c r="AH52" s="18" t="n">
        <v>56</v>
      </c>
      <c r="AI52" s="18" t="n">
        <v>56</v>
      </c>
      <c r="AJ52" s="18" t="n">
        <v>56</v>
      </c>
      <c r="AK52" s="18" t="n">
        <v>56</v>
      </c>
      <c r="AL52" s="18" t="n">
        <v>56</v>
      </c>
      <c r="AM52" s="18" t="n">
        <v>56</v>
      </c>
      <c r="AN52" s="18" t="n">
        <v>56</v>
      </c>
      <c r="AO52" s="18" t="n">
        <v>56</v>
      </c>
      <c r="AP52" s="18" t="n">
        <v>56</v>
      </c>
      <c r="AQ52" s="18" t="n">
        <v>56</v>
      </c>
      <c r="AR52" s="18" t="n">
        <v>56</v>
      </c>
      <c r="AS52" s="18" t="n">
        <v>56</v>
      </c>
      <c r="AT52" s="18" t="n">
        <v>56</v>
      </c>
      <c r="AU52" s="18" t="n">
        <v>56</v>
      </c>
      <c r="AV52" s="18" t="n">
        <v>56</v>
      </c>
      <c r="AW52" s="18" t="n">
        <v>56</v>
      </c>
      <c r="AX52" s="18" t="n">
        <v>336</v>
      </c>
      <c r="AY52" s="18" t="n">
        <v>480</v>
      </c>
      <c r="AZ52" s="18" t="n">
        <v>672</v>
      </c>
      <c r="BA52" s="18" t="n">
        <v>672</v>
      </c>
    </row>
    <row r="53">
      <c r="A53" s="3" t="inlineStr">
        <is>
          <t xml:space="preserve">  Domain .ai renewal</t>
        </is>
      </c>
      <c r="B53" s="18" t="n">
        <v>6</v>
      </c>
      <c r="C53" s="18" t="n">
        <v>6</v>
      </c>
      <c r="D53" s="18" t="n">
        <v>6</v>
      </c>
      <c r="E53" s="18" t="n">
        <v>6</v>
      </c>
      <c r="F53" s="18" t="n">
        <v>6</v>
      </c>
      <c r="G53" s="18" t="n">
        <v>6</v>
      </c>
      <c r="H53" s="18" t="n">
        <v>6</v>
      </c>
      <c r="I53" s="18" t="n">
        <v>6</v>
      </c>
      <c r="J53" s="18" t="n">
        <v>6</v>
      </c>
      <c r="K53" s="18" t="n">
        <v>6</v>
      </c>
      <c r="L53" s="18" t="n">
        <v>6</v>
      </c>
      <c r="M53" s="18" t="n">
        <v>6</v>
      </c>
      <c r="N53" s="18" t="n">
        <v>6</v>
      </c>
      <c r="O53" s="18" t="n">
        <v>6</v>
      </c>
      <c r="P53" s="18" t="n">
        <v>6</v>
      </c>
      <c r="Q53" s="18" t="n">
        <v>6</v>
      </c>
      <c r="R53" s="18" t="n">
        <v>6</v>
      </c>
      <c r="S53" s="18" t="n">
        <v>6</v>
      </c>
      <c r="T53" s="18" t="n">
        <v>6</v>
      </c>
      <c r="U53" s="18" t="n">
        <v>6</v>
      </c>
      <c r="V53" s="18" t="n">
        <v>6</v>
      </c>
      <c r="W53" s="18" t="n">
        <v>6</v>
      </c>
      <c r="X53" s="18" t="n">
        <v>6</v>
      </c>
      <c r="Y53" s="18" t="n">
        <v>6</v>
      </c>
      <c r="Z53" s="18" t="n">
        <v>6</v>
      </c>
      <c r="AA53" s="18" t="n">
        <v>6</v>
      </c>
      <c r="AB53" s="18" t="n">
        <v>6</v>
      </c>
      <c r="AC53" s="18" t="n">
        <v>6</v>
      </c>
      <c r="AD53" s="18" t="n">
        <v>6</v>
      </c>
      <c r="AE53" s="18" t="n">
        <v>6</v>
      </c>
      <c r="AF53" s="18" t="n">
        <v>6</v>
      </c>
      <c r="AG53" s="18" t="n">
        <v>6</v>
      </c>
      <c r="AH53" s="18" t="n">
        <v>6</v>
      </c>
      <c r="AI53" s="18" t="n">
        <v>6</v>
      </c>
      <c r="AJ53" s="18" t="n">
        <v>6</v>
      </c>
      <c r="AK53" s="18" t="n">
        <v>6</v>
      </c>
      <c r="AL53" s="18" t="n">
        <v>6</v>
      </c>
      <c r="AM53" s="18" t="n">
        <v>6</v>
      </c>
      <c r="AN53" s="18" t="n">
        <v>6</v>
      </c>
      <c r="AO53" s="18" t="n">
        <v>6</v>
      </c>
      <c r="AP53" s="18" t="n">
        <v>6</v>
      </c>
      <c r="AQ53" s="18" t="n">
        <v>6</v>
      </c>
      <c r="AR53" s="18" t="n">
        <v>6</v>
      </c>
      <c r="AS53" s="18" t="n">
        <v>6</v>
      </c>
      <c r="AT53" s="18" t="n">
        <v>6</v>
      </c>
      <c r="AU53" s="18" t="n">
        <v>6</v>
      </c>
      <c r="AV53" s="18" t="n">
        <v>6</v>
      </c>
      <c r="AW53" s="18" t="n">
        <v>6</v>
      </c>
      <c r="AX53" s="18" t="n">
        <v>72</v>
      </c>
      <c r="AY53" s="18" t="n">
        <v>72</v>
      </c>
      <c r="AZ53" s="18" t="n">
        <v>72</v>
      </c>
      <c r="BA53" s="18" t="n">
        <v>72</v>
      </c>
    </row>
    <row r="54">
      <c r="A54" s="3" t="inlineStr">
        <is>
          <t xml:space="preserve">  1Password Business</t>
        </is>
      </c>
      <c r="B54" s="18" t="n">
        <v>19</v>
      </c>
      <c r="C54" s="18" t="n">
        <v>19</v>
      </c>
      <c r="D54" s="18" t="n">
        <v>19</v>
      </c>
      <c r="E54" s="18" t="n">
        <v>19</v>
      </c>
      <c r="F54" s="18" t="n">
        <v>19</v>
      </c>
      <c r="G54" s="18" t="n">
        <v>19</v>
      </c>
      <c r="H54" s="18" t="n">
        <v>19</v>
      </c>
      <c r="I54" s="18" t="n">
        <v>19</v>
      </c>
      <c r="J54" s="18" t="n">
        <v>19</v>
      </c>
      <c r="K54" s="18" t="n">
        <v>19</v>
      </c>
      <c r="L54" s="18" t="n">
        <v>19</v>
      </c>
      <c r="M54" s="18" t="n">
        <v>19</v>
      </c>
      <c r="N54" s="18" t="n">
        <v>32</v>
      </c>
      <c r="O54" s="18" t="n">
        <v>32</v>
      </c>
      <c r="P54" s="18" t="n">
        <v>32</v>
      </c>
      <c r="Q54" s="18" t="n">
        <v>32</v>
      </c>
      <c r="R54" s="18" t="n">
        <v>32</v>
      </c>
      <c r="S54" s="18" t="n">
        <v>32</v>
      </c>
      <c r="T54" s="18" t="n">
        <v>32</v>
      </c>
      <c r="U54" s="18" t="n">
        <v>32</v>
      </c>
      <c r="V54" s="18" t="n">
        <v>32</v>
      </c>
      <c r="W54" s="18" t="n">
        <v>32</v>
      </c>
      <c r="X54" s="18" t="n">
        <v>32</v>
      </c>
      <c r="Y54" s="18" t="n">
        <v>32</v>
      </c>
      <c r="Z54" s="18" t="n">
        <v>45</v>
      </c>
      <c r="AA54" s="18" t="n">
        <v>45</v>
      </c>
      <c r="AB54" s="18" t="n">
        <v>45</v>
      </c>
      <c r="AC54" s="18" t="n">
        <v>45</v>
      </c>
      <c r="AD54" s="18" t="n">
        <v>45</v>
      </c>
      <c r="AE54" s="18" t="n">
        <v>45</v>
      </c>
      <c r="AF54" s="18" t="n">
        <v>45</v>
      </c>
      <c r="AG54" s="18" t="n">
        <v>45</v>
      </c>
      <c r="AH54" s="18" t="n">
        <v>45</v>
      </c>
      <c r="AI54" s="18" t="n">
        <v>45</v>
      </c>
      <c r="AJ54" s="18" t="n">
        <v>45</v>
      </c>
      <c r="AK54" s="18" t="n">
        <v>45</v>
      </c>
      <c r="AL54" s="18" t="n">
        <v>51</v>
      </c>
      <c r="AM54" s="18" t="n">
        <v>51</v>
      </c>
      <c r="AN54" s="18" t="n">
        <v>51</v>
      </c>
      <c r="AO54" s="18" t="n">
        <v>51</v>
      </c>
      <c r="AP54" s="18" t="n">
        <v>51</v>
      </c>
      <c r="AQ54" s="18" t="n">
        <v>51</v>
      </c>
      <c r="AR54" s="18" t="n">
        <v>51</v>
      </c>
      <c r="AS54" s="18" t="n">
        <v>51</v>
      </c>
      <c r="AT54" s="18" t="n">
        <v>51</v>
      </c>
      <c r="AU54" s="18" t="n">
        <v>51</v>
      </c>
      <c r="AV54" s="18" t="n">
        <v>51</v>
      </c>
      <c r="AW54" s="18" t="n">
        <v>51</v>
      </c>
      <c r="AX54" s="18" t="n">
        <v>228</v>
      </c>
      <c r="AY54" s="18" t="n">
        <v>384</v>
      </c>
      <c r="AZ54" s="18" t="n">
        <v>540</v>
      </c>
      <c r="BA54" s="18" t="n">
        <v>612</v>
      </c>
    </row>
    <row r="55">
      <c r="A55" s="3" t="inlineStr">
        <is>
          <t xml:space="preserve">  Canva Pro</t>
        </is>
      </c>
      <c r="B55" s="18" t="n">
        <v>10</v>
      </c>
      <c r="C55" s="18" t="n">
        <v>10</v>
      </c>
      <c r="D55" s="18" t="n">
        <v>10</v>
      </c>
      <c r="E55" s="18" t="n">
        <v>10</v>
      </c>
      <c r="F55" s="18" t="n">
        <v>10</v>
      </c>
      <c r="G55" s="18" t="n">
        <v>10</v>
      </c>
      <c r="H55" s="18" t="n">
        <v>10</v>
      </c>
      <c r="I55" s="18" t="n">
        <v>10</v>
      </c>
      <c r="J55" s="18" t="n">
        <v>10</v>
      </c>
      <c r="K55" s="18" t="n">
        <v>10</v>
      </c>
      <c r="L55" s="18" t="n">
        <v>10</v>
      </c>
      <c r="M55" s="18" t="n">
        <v>10</v>
      </c>
      <c r="N55" s="18" t="n">
        <v>10</v>
      </c>
      <c r="O55" s="18" t="n">
        <v>10</v>
      </c>
      <c r="P55" s="18" t="n">
        <v>10</v>
      </c>
      <c r="Q55" s="18" t="n">
        <v>10</v>
      </c>
      <c r="R55" s="18" t="n">
        <v>10</v>
      </c>
      <c r="S55" s="18" t="n">
        <v>10</v>
      </c>
      <c r="T55" s="18" t="n">
        <v>10</v>
      </c>
      <c r="U55" s="18" t="n">
        <v>10</v>
      </c>
      <c r="V55" s="18" t="n">
        <v>10</v>
      </c>
      <c r="W55" s="18" t="n">
        <v>10</v>
      </c>
      <c r="X55" s="18" t="n">
        <v>10</v>
      </c>
      <c r="Y55" s="18" t="n">
        <v>10</v>
      </c>
      <c r="Z55" s="18" t="n">
        <v>10</v>
      </c>
      <c r="AA55" s="18" t="n">
        <v>10</v>
      </c>
      <c r="AB55" s="18" t="n">
        <v>10</v>
      </c>
      <c r="AC55" s="18" t="n">
        <v>10</v>
      </c>
      <c r="AD55" s="18" t="n">
        <v>10</v>
      </c>
      <c r="AE55" s="18" t="n">
        <v>10</v>
      </c>
      <c r="AF55" s="18" t="n">
        <v>10</v>
      </c>
      <c r="AG55" s="18" t="n">
        <v>10</v>
      </c>
      <c r="AH55" s="18" t="n">
        <v>10</v>
      </c>
      <c r="AI55" s="18" t="n">
        <v>10</v>
      </c>
      <c r="AJ55" s="18" t="n">
        <v>10</v>
      </c>
      <c r="AK55" s="18" t="n">
        <v>10</v>
      </c>
      <c r="AL55" s="18" t="n">
        <v>10</v>
      </c>
      <c r="AM55" s="18" t="n">
        <v>10</v>
      </c>
      <c r="AN55" s="18" t="n">
        <v>10</v>
      </c>
      <c r="AO55" s="18" t="n">
        <v>10</v>
      </c>
      <c r="AP55" s="18" t="n">
        <v>10</v>
      </c>
      <c r="AQ55" s="18" t="n">
        <v>10</v>
      </c>
      <c r="AR55" s="18" t="n">
        <v>10</v>
      </c>
      <c r="AS55" s="18" t="n">
        <v>10</v>
      </c>
      <c r="AT55" s="18" t="n">
        <v>10</v>
      </c>
      <c r="AU55" s="18" t="n">
        <v>10</v>
      </c>
      <c r="AV55" s="18" t="n">
        <v>10</v>
      </c>
      <c r="AW55" s="18" t="n">
        <v>10</v>
      </c>
      <c r="AX55" s="18" t="n">
        <v>120</v>
      </c>
      <c r="AY55" s="18" t="n">
        <v>120</v>
      </c>
      <c r="AZ55" s="18" t="n">
        <v>120</v>
      </c>
      <c r="BA55" s="18" t="n">
        <v>120</v>
      </c>
    </row>
    <row r="56">
      <c r="A56" s="3" t="inlineStr">
        <is>
          <t xml:space="preserve">  Sentry monitoring</t>
        </is>
      </c>
      <c r="B56" s="18" t="n">
        <v>21</v>
      </c>
      <c r="C56" s="18" t="n">
        <v>21</v>
      </c>
      <c r="D56" s="18" t="n">
        <v>21</v>
      </c>
      <c r="E56" s="18" t="n">
        <v>21</v>
      </c>
      <c r="F56" s="18" t="n">
        <v>21</v>
      </c>
      <c r="G56" s="18" t="n">
        <v>21</v>
      </c>
      <c r="H56" s="18" t="n">
        <v>21</v>
      </c>
      <c r="I56" s="18" t="n">
        <v>21</v>
      </c>
      <c r="J56" s="18" t="n">
        <v>21</v>
      </c>
      <c r="K56" s="18" t="n">
        <v>21</v>
      </c>
      <c r="L56" s="18" t="n">
        <v>21</v>
      </c>
      <c r="M56" s="18" t="n">
        <v>21</v>
      </c>
      <c r="N56" s="18" t="n">
        <v>21</v>
      </c>
      <c r="O56" s="18" t="n">
        <v>21</v>
      </c>
      <c r="P56" s="18" t="n">
        <v>21</v>
      </c>
      <c r="Q56" s="18" t="n">
        <v>21</v>
      </c>
      <c r="R56" s="18" t="n">
        <v>21</v>
      </c>
      <c r="S56" s="18" t="n">
        <v>21</v>
      </c>
      <c r="T56" s="18" t="n">
        <v>21</v>
      </c>
      <c r="U56" s="18" t="n">
        <v>21</v>
      </c>
      <c r="V56" s="18" t="n">
        <v>21</v>
      </c>
      <c r="W56" s="18" t="n">
        <v>21</v>
      </c>
      <c r="X56" s="18" t="n">
        <v>21</v>
      </c>
      <c r="Y56" s="18" t="n">
        <v>21</v>
      </c>
      <c r="Z56" s="18" t="n">
        <v>21</v>
      </c>
      <c r="AA56" s="18" t="n">
        <v>21</v>
      </c>
      <c r="AB56" s="18" t="n">
        <v>21</v>
      </c>
      <c r="AC56" s="18" t="n">
        <v>21</v>
      </c>
      <c r="AD56" s="18" t="n">
        <v>21</v>
      </c>
      <c r="AE56" s="18" t="n">
        <v>21</v>
      </c>
      <c r="AF56" s="18" t="n">
        <v>21</v>
      </c>
      <c r="AG56" s="18" t="n">
        <v>21</v>
      </c>
      <c r="AH56" s="18" t="n">
        <v>21</v>
      </c>
      <c r="AI56" s="18" t="n">
        <v>21</v>
      </c>
      <c r="AJ56" s="18" t="n">
        <v>21</v>
      </c>
      <c r="AK56" s="18" t="n">
        <v>21</v>
      </c>
      <c r="AL56" s="18" t="n">
        <v>21</v>
      </c>
      <c r="AM56" s="18" t="n">
        <v>21</v>
      </c>
      <c r="AN56" s="18" t="n">
        <v>21</v>
      </c>
      <c r="AO56" s="18" t="n">
        <v>21</v>
      </c>
      <c r="AP56" s="18" t="n">
        <v>21</v>
      </c>
      <c r="AQ56" s="18" t="n">
        <v>21</v>
      </c>
      <c r="AR56" s="18" t="n">
        <v>21</v>
      </c>
      <c r="AS56" s="18" t="n">
        <v>21</v>
      </c>
      <c r="AT56" s="18" t="n">
        <v>21</v>
      </c>
      <c r="AU56" s="18" t="n">
        <v>21</v>
      </c>
      <c r="AV56" s="18" t="n">
        <v>21</v>
      </c>
      <c r="AW56" s="18" t="n">
        <v>21</v>
      </c>
      <c r="AX56" s="18" t="n">
        <v>252</v>
      </c>
      <c r="AY56" s="18" t="n">
        <v>252</v>
      </c>
      <c r="AZ56" s="18" t="n">
        <v>252</v>
      </c>
      <c r="BA56" s="18" t="n">
        <v>252</v>
      </c>
    </row>
    <row r="57">
      <c r="A57" s="3" t="inlineStr">
        <is>
          <t xml:space="preserve">  Resend email</t>
        </is>
      </c>
      <c r="B57" s="18" t="n">
        <v>16</v>
      </c>
      <c r="C57" s="18" t="n">
        <v>16</v>
      </c>
      <c r="D57" s="18" t="n">
        <v>16</v>
      </c>
      <c r="E57" s="18" t="n">
        <v>16</v>
      </c>
      <c r="F57" s="18" t="n">
        <v>16</v>
      </c>
      <c r="G57" s="18" t="n">
        <v>16</v>
      </c>
      <c r="H57" s="18" t="n">
        <v>16</v>
      </c>
      <c r="I57" s="18" t="n">
        <v>16</v>
      </c>
      <c r="J57" s="18" t="n">
        <v>16</v>
      </c>
      <c r="K57" s="18" t="n">
        <v>16</v>
      </c>
      <c r="L57" s="18" t="n">
        <v>16</v>
      </c>
      <c r="M57" s="18" t="n">
        <v>16</v>
      </c>
      <c r="N57" s="18" t="n">
        <v>16</v>
      </c>
      <c r="O57" s="18" t="n">
        <v>16</v>
      </c>
      <c r="P57" s="18" t="n">
        <v>16</v>
      </c>
      <c r="Q57" s="18" t="n">
        <v>16</v>
      </c>
      <c r="R57" s="18" t="n">
        <v>16</v>
      </c>
      <c r="S57" s="18" t="n">
        <v>16</v>
      </c>
      <c r="T57" s="18" t="n">
        <v>16</v>
      </c>
      <c r="U57" s="18" t="n">
        <v>16</v>
      </c>
      <c r="V57" s="18" t="n">
        <v>16</v>
      </c>
      <c r="W57" s="18" t="n">
        <v>16</v>
      </c>
      <c r="X57" s="18" t="n">
        <v>16</v>
      </c>
      <c r="Y57" s="18" t="n">
        <v>16</v>
      </c>
      <c r="Z57" s="18" t="n">
        <v>16</v>
      </c>
      <c r="AA57" s="18" t="n">
        <v>16</v>
      </c>
      <c r="AB57" s="18" t="n">
        <v>16</v>
      </c>
      <c r="AC57" s="18" t="n">
        <v>16</v>
      </c>
      <c r="AD57" s="18" t="n">
        <v>16</v>
      </c>
      <c r="AE57" s="18" t="n">
        <v>16</v>
      </c>
      <c r="AF57" s="18" t="n">
        <v>16</v>
      </c>
      <c r="AG57" s="18" t="n">
        <v>16</v>
      </c>
      <c r="AH57" s="18" t="n">
        <v>16</v>
      </c>
      <c r="AI57" s="18" t="n">
        <v>16</v>
      </c>
      <c r="AJ57" s="18" t="n">
        <v>16</v>
      </c>
      <c r="AK57" s="18" t="n">
        <v>16</v>
      </c>
      <c r="AL57" s="18" t="n">
        <v>16</v>
      </c>
      <c r="AM57" s="18" t="n">
        <v>16</v>
      </c>
      <c r="AN57" s="18" t="n">
        <v>16</v>
      </c>
      <c r="AO57" s="18" t="n">
        <v>16</v>
      </c>
      <c r="AP57" s="18" t="n">
        <v>16</v>
      </c>
      <c r="AQ57" s="18" t="n">
        <v>16</v>
      </c>
      <c r="AR57" s="18" t="n">
        <v>16</v>
      </c>
      <c r="AS57" s="18" t="n">
        <v>16</v>
      </c>
      <c r="AT57" s="18" t="n">
        <v>16</v>
      </c>
      <c r="AU57" s="18" t="n">
        <v>16</v>
      </c>
      <c r="AV57" s="18" t="n">
        <v>16</v>
      </c>
      <c r="AW57" s="18" t="n">
        <v>16</v>
      </c>
      <c r="AX57" s="18" t="n">
        <v>192</v>
      </c>
      <c r="AY57" s="18" t="n">
        <v>192</v>
      </c>
      <c r="AZ57" s="18" t="n">
        <v>192</v>
      </c>
      <c r="BA57" s="18" t="n">
        <v>192</v>
      </c>
    </row>
    <row r="58">
      <c r="A58" s="3" t="inlineStr">
        <is>
          <t xml:space="preserve">  Notion</t>
        </is>
      </c>
      <c r="B58" s="18" t="n">
        <v>16</v>
      </c>
      <c r="C58" s="18" t="n">
        <v>16</v>
      </c>
      <c r="D58" s="18" t="n">
        <v>16</v>
      </c>
      <c r="E58" s="18" t="n">
        <v>16</v>
      </c>
      <c r="F58" s="18" t="n">
        <v>16</v>
      </c>
      <c r="G58" s="18" t="n">
        <v>16</v>
      </c>
      <c r="H58" s="18" t="n">
        <v>16</v>
      </c>
      <c r="I58" s="18" t="n">
        <v>16</v>
      </c>
      <c r="J58" s="18" t="n">
        <v>16</v>
      </c>
      <c r="K58" s="18" t="n">
        <v>16</v>
      </c>
      <c r="L58" s="18" t="n">
        <v>16</v>
      </c>
      <c r="M58" s="18" t="n">
        <v>16</v>
      </c>
      <c r="N58" s="18" t="n">
        <v>24</v>
      </c>
      <c r="O58" s="18" t="n">
        <v>24</v>
      </c>
      <c r="P58" s="18" t="n">
        <v>24</v>
      </c>
      <c r="Q58" s="18" t="n">
        <v>24</v>
      </c>
      <c r="R58" s="18" t="n">
        <v>24</v>
      </c>
      <c r="S58" s="18" t="n">
        <v>24</v>
      </c>
      <c r="T58" s="18" t="n">
        <v>24</v>
      </c>
      <c r="U58" s="18" t="n">
        <v>24</v>
      </c>
      <c r="V58" s="18" t="n">
        <v>24</v>
      </c>
      <c r="W58" s="18" t="n">
        <v>24</v>
      </c>
      <c r="X58" s="18" t="n">
        <v>24</v>
      </c>
      <c r="Y58" s="18" t="n">
        <v>24</v>
      </c>
      <c r="Z58" s="18" t="n">
        <v>24</v>
      </c>
      <c r="AA58" s="18" t="n">
        <v>24</v>
      </c>
      <c r="AB58" s="18" t="n">
        <v>24</v>
      </c>
      <c r="AC58" s="18" t="n">
        <v>24</v>
      </c>
      <c r="AD58" s="18" t="n">
        <v>24</v>
      </c>
      <c r="AE58" s="18" t="n">
        <v>24</v>
      </c>
      <c r="AF58" s="18" t="n">
        <v>24</v>
      </c>
      <c r="AG58" s="18" t="n">
        <v>24</v>
      </c>
      <c r="AH58" s="18" t="n">
        <v>24</v>
      </c>
      <c r="AI58" s="18" t="n">
        <v>24</v>
      </c>
      <c r="AJ58" s="18" t="n">
        <v>24</v>
      </c>
      <c r="AK58" s="18" t="n">
        <v>24</v>
      </c>
      <c r="AL58" s="18" t="n">
        <v>24</v>
      </c>
      <c r="AM58" s="18" t="n">
        <v>24</v>
      </c>
      <c r="AN58" s="18" t="n">
        <v>24</v>
      </c>
      <c r="AO58" s="18" t="n">
        <v>24</v>
      </c>
      <c r="AP58" s="18" t="n">
        <v>24</v>
      </c>
      <c r="AQ58" s="18" t="n">
        <v>24</v>
      </c>
      <c r="AR58" s="18" t="n">
        <v>24</v>
      </c>
      <c r="AS58" s="18" t="n">
        <v>24</v>
      </c>
      <c r="AT58" s="18" t="n">
        <v>24</v>
      </c>
      <c r="AU58" s="18" t="n">
        <v>24</v>
      </c>
      <c r="AV58" s="18" t="n">
        <v>24</v>
      </c>
      <c r="AW58" s="18" t="n">
        <v>24</v>
      </c>
      <c r="AX58" s="18" t="n">
        <v>192</v>
      </c>
      <c r="AY58" s="18" t="n">
        <v>288</v>
      </c>
      <c r="AZ58" s="18" t="n">
        <v>288</v>
      </c>
      <c r="BA58" s="18" t="n">
        <v>288</v>
      </c>
    </row>
    <row r="59">
      <c r="A59" s="3" t="inlineStr">
        <is>
          <t xml:space="preserve">  Cloudflare Pro</t>
        </is>
      </c>
      <c r="B59" s="18" t="n">
        <v>16</v>
      </c>
      <c r="C59" s="18" t="n">
        <v>16</v>
      </c>
      <c r="D59" s="18" t="n">
        <v>16</v>
      </c>
      <c r="E59" s="18" t="n">
        <v>16</v>
      </c>
      <c r="F59" s="18" t="n">
        <v>16</v>
      </c>
      <c r="G59" s="18" t="n">
        <v>16</v>
      </c>
      <c r="H59" s="18" t="n">
        <v>16</v>
      </c>
      <c r="I59" s="18" t="n">
        <v>16</v>
      </c>
      <c r="J59" s="18" t="n">
        <v>16</v>
      </c>
      <c r="K59" s="18" t="n">
        <v>16</v>
      </c>
      <c r="L59" s="18" t="n">
        <v>16</v>
      </c>
      <c r="M59" s="18" t="n">
        <v>16</v>
      </c>
      <c r="N59" s="18" t="n">
        <v>16</v>
      </c>
      <c r="O59" s="18" t="n">
        <v>16</v>
      </c>
      <c r="P59" s="18" t="n">
        <v>16</v>
      </c>
      <c r="Q59" s="18" t="n">
        <v>16</v>
      </c>
      <c r="R59" s="18" t="n">
        <v>16</v>
      </c>
      <c r="S59" s="18" t="n">
        <v>16</v>
      </c>
      <c r="T59" s="18" t="n">
        <v>16</v>
      </c>
      <c r="U59" s="18" t="n">
        <v>16</v>
      </c>
      <c r="V59" s="18" t="n">
        <v>16</v>
      </c>
      <c r="W59" s="18" t="n">
        <v>16</v>
      </c>
      <c r="X59" s="18" t="n">
        <v>16</v>
      </c>
      <c r="Y59" s="18" t="n">
        <v>16</v>
      </c>
      <c r="Z59" s="18" t="n">
        <v>16</v>
      </c>
      <c r="AA59" s="18" t="n">
        <v>16</v>
      </c>
      <c r="AB59" s="18" t="n">
        <v>16</v>
      </c>
      <c r="AC59" s="18" t="n">
        <v>16</v>
      </c>
      <c r="AD59" s="18" t="n">
        <v>16</v>
      </c>
      <c r="AE59" s="18" t="n">
        <v>16</v>
      </c>
      <c r="AF59" s="18" t="n">
        <v>16</v>
      </c>
      <c r="AG59" s="18" t="n">
        <v>16</v>
      </c>
      <c r="AH59" s="18" t="n">
        <v>16</v>
      </c>
      <c r="AI59" s="18" t="n">
        <v>16</v>
      </c>
      <c r="AJ59" s="18" t="n">
        <v>16</v>
      </c>
      <c r="AK59" s="18" t="n">
        <v>16</v>
      </c>
      <c r="AL59" s="18" t="n">
        <v>16</v>
      </c>
      <c r="AM59" s="18" t="n">
        <v>16</v>
      </c>
      <c r="AN59" s="18" t="n">
        <v>16</v>
      </c>
      <c r="AO59" s="18" t="n">
        <v>16</v>
      </c>
      <c r="AP59" s="18" t="n">
        <v>16</v>
      </c>
      <c r="AQ59" s="18" t="n">
        <v>16</v>
      </c>
      <c r="AR59" s="18" t="n">
        <v>16</v>
      </c>
      <c r="AS59" s="18" t="n">
        <v>16</v>
      </c>
      <c r="AT59" s="18" t="n">
        <v>16</v>
      </c>
      <c r="AU59" s="18" t="n">
        <v>16</v>
      </c>
      <c r="AV59" s="18" t="n">
        <v>16</v>
      </c>
      <c r="AW59" s="18" t="n">
        <v>16</v>
      </c>
      <c r="AX59" s="18" t="n">
        <v>192</v>
      </c>
      <c r="AY59" s="18" t="n">
        <v>192</v>
      </c>
      <c r="AZ59" s="18" t="n">
        <v>192</v>
      </c>
      <c r="BA59" s="18" t="n">
        <v>192</v>
      </c>
    </row>
    <row r="60">
      <c r="A60" s="5" t="inlineStr">
        <is>
          <t xml:space="preserve">  — Admin &amp; Professional</t>
        </is>
      </c>
    </row>
    <row r="61">
      <c r="A61" s="3" t="inlineStr">
        <is>
          <t xml:space="preserve">  Slack Pro</t>
        </is>
      </c>
      <c r="B61" s="18" t="n">
        <v>20</v>
      </c>
      <c r="C61" s="18" t="n">
        <v>20</v>
      </c>
      <c r="D61" s="18" t="n">
        <v>20</v>
      </c>
      <c r="E61" s="18" t="n">
        <v>20</v>
      </c>
      <c r="F61" s="18" t="n">
        <v>20</v>
      </c>
      <c r="G61" s="18" t="n">
        <v>20</v>
      </c>
      <c r="H61" s="18" t="n">
        <v>20</v>
      </c>
      <c r="I61" s="18" t="n">
        <v>20</v>
      </c>
      <c r="J61" s="18" t="n">
        <v>20</v>
      </c>
      <c r="K61" s="18" t="n">
        <v>20</v>
      </c>
      <c r="L61" s="18" t="n">
        <v>20</v>
      </c>
      <c r="M61" s="18" t="n">
        <v>20</v>
      </c>
      <c r="N61" s="18" t="n">
        <v>32</v>
      </c>
      <c r="O61" s="18" t="n">
        <v>32</v>
      </c>
      <c r="P61" s="18" t="n">
        <v>32</v>
      </c>
      <c r="Q61" s="18" t="n">
        <v>32</v>
      </c>
      <c r="R61" s="18" t="n">
        <v>32</v>
      </c>
      <c r="S61" s="18" t="n">
        <v>32</v>
      </c>
      <c r="T61" s="18" t="n">
        <v>32</v>
      </c>
      <c r="U61" s="18" t="n">
        <v>32</v>
      </c>
      <c r="V61" s="18" t="n">
        <v>32</v>
      </c>
      <c r="W61" s="18" t="n">
        <v>32</v>
      </c>
      <c r="X61" s="18" t="n">
        <v>32</v>
      </c>
      <c r="Y61" s="18" t="n">
        <v>32</v>
      </c>
      <c r="Z61" s="18" t="n">
        <v>45</v>
      </c>
      <c r="AA61" s="18" t="n">
        <v>45</v>
      </c>
      <c r="AB61" s="18" t="n">
        <v>45</v>
      </c>
      <c r="AC61" s="18" t="n">
        <v>45</v>
      </c>
      <c r="AD61" s="18" t="n">
        <v>45</v>
      </c>
      <c r="AE61" s="18" t="n">
        <v>45</v>
      </c>
      <c r="AF61" s="18" t="n">
        <v>45</v>
      </c>
      <c r="AG61" s="18" t="n">
        <v>45</v>
      </c>
      <c r="AH61" s="18" t="n">
        <v>45</v>
      </c>
      <c r="AI61" s="18" t="n">
        <v>45</v>
      </c>
      <c r="AJ61" s="18" t="n">
        <v>45</v>
      </c>
      <c r="AK61" s="18" t="n">
        <v>45</v>
      </c>
      <c r="AL61" s="18" t="n">
        <v>51</v>
      </c>
      <c r="AM61" s="18" t="n">
        <v>51</v>
      </c>
      <c r="AN61" s="18" t="n">
        <v>51</v>
      </c>
      <c r="AO61" s="18" t="n">
        <v>51</v>
      </c>
      <c r="AP61" s="18" t="n">
        <v>51</v>
      </c>
      <c r="AQ61" s="18" t="n">
        <v>51</v>
      </c>
      <c r="AR61" s="18" t="n">
        <v>51</v>
      </c>
      <c r="AS61" s="18" t="n">
        <v>51</v>
      </c>
      <c r="AT61" s="18" t="n">
        <v>51</v>
      </c>
      <c r="AU61" s="18" t="n">
        <v>51</v>
      </c>
      <c r="AV61" s="18" t="n">
        <v>51</v>
      </c>
      <c r="AW61" s="18" t="n">
        <v>51</v>
      </c>
      <c r="AX61" s="18" t="n">
        <v>240</v>
      </c>
      <c r="AY61" s="18" t="n">
        <v>384</v>
      </c>
      <c r="AZ61" s="18" t="n">
        <v>540</v>
      </c>
      <c r="BA61" s="18" t="n">
        <v>612</v>
      </c>
    </row>
    <row r="62">
      <c r="A62" s="3" t="inlineStr">
        <is>
          <t xml:space="preserve">  GitHub Actions (CI/CD)</t>
        </is>
      </c>
      <c r="B62" s="18" t="n">
        <v>12</v>
      </c>
      <c r="C62" s="18" t="n">
        <v>12</v>
      </c>
      <c r="D62" s="18" t="n">
        <v>12</v>
      </c>
      <c r="E62" s="18" t="n">
        <v>12</v>
      </c>
      <c r="F62" s="18" t="n">
        <v>12</v>
      </c>
      <c r="G62" s="18" t="n">
        <v>12</v>
      </c>
      <c r="H62" s="18" t="n">
        <v>12</v>
      </c>
      <c r="I62" s="18" t="n">
        <v>12</v>
      </c>
      <c r="J62" s="18" t="n">
        <v>12</v>
      </c>
      <c r="K62" s="18" t="n">
        <v>12</v>
      </c>
      <c r="L62" s="18" t="n">
        <v>12</v>
      </c>
      <c r="M62" s="18" t="n">
        <v>12</v>
      </c>
      <c r="N62" s="18" t="n">
        <v>16</v>
      </c>
      <c r="O62" s="18" t="n">
        <v>16</v>
      </c>
      <c r="P62" s="18" t="n">
        <v>16</v>
      </c>
      <c r="Q62" s="18" t="n">
        <v>16</v>
      </c>
      <c r="R62" s="18" t="n">
        <v>16</v>
      </c>
      <c r="S62" s="18" t="n">
        <v>16</v>
      </c>
      <c r="T62" s="18" t="n">
        <v>16</v>
      </c>
      <c r="U62" s="18" t="n">
        <v>16</v>
      </c>
      <c r="V62" s="18" t="n">
        <v>16</v>
      </c>
      <c r="W62" s="18" t="n">
        <v>16</v>
      </c>
      <c r="X62" s="18" t="n">
        <v>16</v>
      </c>
      <c r="Y62" s="18" t="n">
        <v>16</v>
      </c>
      <c r="Z62" s="18" t="n">
        <v>24</v>
      </c>
      <c r="AA62" s="18" t="n">
        <v>24</v>
      </c>
      <c r="AB62" s="18" t="n">
        <v>24</v>
      </c>
      <c r="AC62" s="18" t="n">
        <v>24</v>
      </c>
      <c r="AD62" s="18" t="n">
        <v>24</v>
      </c>
      <c r="AE62" s="18" t="n">
        <v>24</v>
      </c>
      <c r="AF62" s="18" t="n">
        <v>24</v>
      </c>
      <c r="AG62" s="18" t="n">
        <v>24</v>
      </c>
      <c r="AH62" s="18" t="n">
        <v>24</v>
      </c>
      <c r="AI62" s="18" t="n">
        <v>24</v>
      </c>
      <c r="AJ62" s="18" t="n">
        <v>24</v>
      </c>
      <c r="AK62" s="18" t="n">
        <v>24</v>
      </c>
      <c r="AL62" s="18" t="n">
        <v>32</v>
      </c>
      <c r="AM62" s="18" t="n">
        <v>32</v>
      </c>
      <c r="AN62" s="18" t="n">
        <v>32</v>
      </c>
      <c r="AO62" s="18" t="n">
        <v>32</v>
      </c>
      <c r="AP62" s="18" t="n">
        <v>32</v>
      </c>
      <c r="AQ62" s="18" t="n">
        <v>32</v>
      </c>
      <c r="AR62" s="18" t="n">
        <v>32</v>
      </c>
      <c r="AS62" s="18" t="n">
        <v>32</v>
      </c>
      <c r="AT62" s="18" t="n">
        <v>32</v>
      </c>
      <c r="AU62" s="18" t="n">
        <v>32</v>
      </c>
      <c r="AV62" s="18" t="n">
        <v>32</v>
      </c>
      <c r="AW62" s="18" t="n">
        <v>32</v>
      </c>
      <c r="AX62" s="18" t="n">
        <v>144</v>
      </c>
      <c r="AY62" s="18" t="n">
        <v>192</v>
      </c>
      <c r="AZ62" s="18" t="n">
        <v>288</v>
      </c>
      <c r="BA62" s="18" t="n">
        <v>384</v>
      </c>
    </row>
    <row r="63">
      <c r="A63" s="3" t="inlineStr">
        <is>
          <t xml:space="preserve">  Upstash Redis (caching)</t>
        </is>
      </c>
      <c r="B63" s="18" t="n">
        <v>8</v>
      </c>
      <c r="C63" s="18" t="n">
        <v>8</v>
      </c>
      <c r="D63" s="18" t="n">
        <v>8</v>
      </c>
      <c r="E63" s="18" t="n">
        <v>8</v>
      </c>
      <c r="F63" s="18" t="n">
        <v>8</v>
      </c>
      <c r="G63" s="18" t="n">
        <v>8</v>
      </c>
      <c r="H63" s="18" t="n">
        <v>8</v>
      </c>
      <c r="I63" s="18" t="n">
        <v>8</v>
      </c>
      <c r="J63" s="18" t="n">
        <v>8</v>
      </c>
      <c r="K63" s="18" t="n">
        <v>8</v>
      </c>
      <c r="L63" s="18" t="n">
        <v>8</v>
      </c>
      <c r="M63" s="18" t="n">
        <v>8</v>
      </c>
      <c r="N63" s="18" t="n">
        <v>16</v>
      </c>
      <c r="O63" s="18" t="n">
        <v>16</v>
      </c>
      <c r="P63" s="18" t="n">
        <v>16</v>
      </c>
      <c r="Q63" s="18" t="n">
        <v>16</v>
      </c>
      <c r="R63" s="18" t="n">
        <v>16</v>
      </c>
      <c r="S63" s="18" t="n">
        <v>16</v>
      </c>
      <c r="T63" s="18" t="n">
        <v>16</v>
      </c>
      <c r="U63" s="18" t="n">
        <v>16</v>
      </c>
      <c r="V63" s="18" t="n">
        <v>16</v>
      </c>
      <c r="W63" s="18" t="n">
        <v>16</v>
      </c>
      <c r="X63" s="18" t="n">
        <v>16</v>
      </c>
      <c r="Y63" s="18" t="n">
        <v>16</v>
      </c>
      <c r="Z63" s="18" t="n">
        <v>24</v>
      </c>
      <c r="AA63" s="18" t="n">
        <v>24</v>
      </c>
      <c r="AB63" s="18" t="n">
        <v>24</v>
      </c>
      <c r="AC63" s="18" t="n">
        <v>24</v>
      </c>
      <c r="AD63" s="18" t="n">
        <v>24</v>
      </c>
      <c r="AE63" s="18" t="n">
        <v>24</v>
      </c>
      <c r="AF63" s="18" t="n">
        <v>24</v>
      </c>
      <c r="AG63" s="18" t="n">
        <v>24</v>
      </c>
      <c r="AH63" s="18" t="n">
        <v>24</v>
      </c>
      <c r="AI63" s="18" t="n">
        <v>24</v>
      </c>
      <c r="AJ63" s="18" t="n">
        <v>24</v>
      </c>
      <c r="AK63" s="18" t="n">
        <v>24</v>
      </c>
      <c r="AL63" s="18" t="n">
        <v>24</v>
      </c>
      <c r="AM63" s="18" t="n">
        <v>24</v>
      </c>
      <c r="AN63" s="18" t="n">
        <v>24</v>
      </c>
      <c r="AO63" s="18" t="n">
        <v>24</v>
      </c>
      <c r="AP63" s="18" t="n">
        <v>24</v>
      </c>
      <c r="AQ63" s="18" t="n">
        <v>24</v>
      </c>
      <c r="AR63" s="18" t="n">
        <v>24</v>
      </c>
      <c r="AS63" s="18" t="n">
        <v>24</v>
      </c>
      <c r="AT63" s="18" t="n">
        <v>24</v>
      </c>
      <c r="AU63" s="18" t="n">
        <v>24</v>
      </c>
      <c r="AV63" s="18" t="n">
        <v>24</v>
      </c>
      <c r="AW63" s="18" t="n">
        <v>24</v>
      </c>
      <c r="AX63" s="18" t="n">
        <v>96</v>
      </c>
      <c r="AY63" s="18" t="n">
        <v>192</v>
      </c>
      <c r="AZ63" s="18" t="n">
        <v>288</v>
      </c>
      <c r="BA63" s="18" t="n">
        <v>288</v>
      </c>
    </row>
    <row r="64">
      <c r="A64" s="3" t="inlineStr">
        <is>
          <t xml:space="preserve">  PostHog analytics</t>
        </is>
      </c>
      <c r="B64" s="18" t="n">
        <v>0</v>
      </c>
      <c r="C64" s="18" t="n">
        <v>0</v>
      </c>
      <c r="D64" s="18" t="n">
        <v>0</v>
      </c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0</v>
      </c>
      <c r="J64" s="18" t="n">
        <v>0</v>
      </c>
      <c r="K64" s="18" t="n">
        <v>0</v>
      </c>
      <c r="L64" s="18" t="n">
        <v>0</v>
      </c>
      <c r="M64" s="18" t="n">
        <v>0</v>
      </c>
      <c r="N64" s="18" t="n">
        <v>20</v>
      </c>
      <c r="O64" s="18" t="n">
        <v>20</v>
      </c>
      <c r="P64" s="18" t="n">
        <v>20</v>
      </c>
      <c r="Q64" s="18" t="n">
        <v>20</v>
      </c>
      <c r="R64" s="18" t="n">
        <v>20</v>
      </c>
      <c r="S64" s="18" t="n">
        <v>20</v>
      </c>
      <c r="T64" s="18" t="n">
        <v>20</v>
      </c>
      <c r="U64" s="18" t="n">
        <v>20</v>
      </c>
      <c r="V64" s="18" t="n">
        <v>20</v>
      </c>
      <c r="W64" s="18" t="n">
        <v>20</v>
      </c>
      <c r="X64" s="18" t="n">
        <v>20</v>
      </c>
      <c r="Y64" s="18" t="n">
        <v>20</v>
      </c>
      <c r="Z64" s="18" t="n">
        <v>40</v>
      </c>
      <c r="AA64" s="18" t="n">
        <v>40</v>
      </c>
      <c r="AB64" s="18" t="n">
        <v>40</v>
      </c>
      <c r="AC64" s="18" t="n">
        <v>40</v>
      </c>
      <c r="AD64" s="18" t="n">
        <v>40</v>
      </c>
      <c r="AE64" s="18" t="n">
        <v>40</v>
      </c>
      <c r="AF64" s="18" t="n">
        <v>40</v>
      </c>
      <c r="AG64" s="18" t="n">
        <v>40</v>
      </c>
      <c r="AH64" s="18" t="n">
        <v>40</v>
      </c>
      <c r="AI64" s="18" t="n">
        <v>40</v>
      </c>
      <c r="AJ64" s="18" t="n">
        <v>40</v>
      </c>
      <c r="AK64" s="18" t="n">
        <v>40</v>
      </c>
      <c r="AL64" s="18" t="n">
        <v>40</v>
      </c>
      <c r="AM64" s="18" t="n">
        <v>40</v>
      </c>
      <c r="AN64" s="18" t="n">
        <v>40</v>
      </c>
      <c r="AO64" s="18" t="n">
        <v>40</v>
      </c>
      <c r="AP64" s="18" t="n">
        <v>40</v>
      </c>
      <c r="AQ64" s="18" t="n">
        <v>40</v>
      </c>
      <c r="AR64" s="18" t="n">
        <v>40</v>
      </c>
      <c r="AS64" s="18" t="n">
        <v>40</v>
      </c>
      <c r="AT64" s="18" t="n">
        <v>40</v>
      </c>
      <c r="AU64" s="18" t="n">
        <v>40</v>
      </c>
      <c r="AV64" s="18" t="n">
        <v>40</v>
      </c>
      <c r="AW64" s="18" t="n">
        <v>40</v>
      </c>
      <c r="AX64" s="18" t="n">
        <v>0</v>
      </c>
      <c r="AY64" s="18" t="n">
        <v>240</v>
      </c>
      <c r="AZ64" s="18" t="n">
        <v>480</v>
      </c>
      <c r="BA64" s="18" t="n">
        <v>480</v>
      </c>
    </row>
    <row r="65">
      <c r="A65" s="3" t="inlineStr">
        <is>
          <t xml:space="preserve">  Misc SaaS + overages</t>
        </is>
      </c>
      <c r="B65" s="18" t="n">
        <v>20</v>
      </c>
      <c r="C65" s="18" t="n">
        <v>20</v>
      </c>
      <c r="D65" s="18" t="n">
        <v>20</v>
      </c>
      <c r="E65" s="18" t="n">
        <v>20</v>
      </c>
      <c r="F65" s="18" t="n">
        <v>20</v>
      </c>
      <c r="G65" s="18" t="n">
        <v>20</v>
      </c>
      <c r="H65" s="18" t="n">
        <v>20</v>
      </c>
      <c r="I65" s="18" t="n">
        <v>20</v>
      </c>
      <c r="J65" s="18" t="n">
        <v>20</v>
      </c>
      <c r="K65" s="18" t="n">
        <v>20</v>
      </c>
      <c r="L65" s="18" t="n">
        <v>20</v>
      </c>
      <c r="M65" s="18" t="n">
        <v>20</v>
      </c>
      <c r="N65" s="18" t="n">
        <v>24</v>
      </c>
      <c r="O65" s="18" t="n">
        <v>24</v>
      </c>
      <c r="P65" s="18" t="n">
        <v>24</v>
      </c>
      <c r="Q65" s="18" t="n">
        <v>24</v>
      </c>
      <c r="R65" s="18" t="n">
        <v>24</v>
      </c>
      <c r="S65" s="18" t="n">
        <v>24</v>
      </c>
      <c r="T65" s="18" t="n">
        <v>24</v>
      </c>
      <c r="U65" s="18" t="n">
        <v>24</v>
      </c>
      <c r="V65" s="18" t="n">
        <v>24</v>
      </c>
      <c r="W65" s="18" t="n">
        <v>24</v>
      </c>
      <c r="X65" s="18" t="n">
        <v>24</v>
      </c>
      <c r="Y65" s="18" t="n">
        <v>24</v>
      </c>
      <c r="Z65" s="18" t="n">
        <v>32</v>
      </c>
      <c r="AA65" s="18" t="n">
        <v>32</v>
      </c>
      <c r="AB65" s="18" t="n">
        <v>32</v>
      </c>
      <c r="AC65" s="18" t="n">
        <v>32</v>
      </c>
      <c r="AD65" s="18" t="n">
        <v>32</v>
      </c>
      <c r="AE65" s="18" t="n">
        <v>32</v>
      </c>
      <c r="AF65" s="18" t="n">
        <v>32</v>
      </c>
      <c r="AG65" s="18" t="n">
        <v>32</v>
      </c>
      <c r="AH65" s="18" t="n">
        <v>32</v>
      </c>
      <c r="AI65" s="18" t="n">
        <v>32</v>
      </c>
      <c r="AJ65" s="18" t="n">
        <v>32</v>
      </c>
      <c r="AK65" s="18" t="n">
        <v>32</v>
      </c>
      <c r="AL65" s="18" t="n">
        <v>40</v>
      </c>
      <c r="AM65" s="18" t="n">
        <v>40</v>
      </c>
      <c r="AN65" s="18" t="n">
        <v>40</v>
      </c>
      <c r="AO65" s="18" t="n">
        <v>40</v>
      </c>
      <c r="AP65" s="18" t="n">
        <v>40</v>
      </c>
      <c r="AQ65" s="18" t="n">
        <v>40</v>
      </c>
      <c r="AR65" s="18" t="n">
        <v>40</v>
      </c>
      <c r="AS65" s="18" t="n">
        <v>40</v>
      </c>
      <c r="AT65" s="18" t="n">
        <v>40</v>
      </c>
      <c r="AU65" s="18" t="n">
        <v>40</v>
      </c>
      <c r="AV65" s="18" t="n">
        <v>40</v>
      </c>
      <c r="AW65" s="18" t="n">
        <v>40</v>
      </c>
      <c r="AX65" s="18" t="n">
        <v>240</v>
      </c>
      <c r="AY65" s="18" t="n">
        <v>288</v>
      </c>
      <c r="AZ65" s="18" t="n">
        <v>384</v>
      </c>
      <c r="BA65" s="18" t="n">
        <v>480</v>
      </c>
    </row>
    <row r="66">
      <c r="A66" s="3" t="inlineStr">
        <is>
          <t xml:space="preserve">  Treuhand / accounting</t>
        </is>
      </c>
      <c r="B66" s="18" t="n">
        <v>300</v>
      </c>
      <c r="C66" s="18" t="n">
        <v>300</v>
      </c>
      <c r="D66" s="18" t="n">
        <v>300</v>
      </c>
      <c r="E66" s="18" t="n">
        <v>300</v>
      </c>
      <c r="F66" s="18" t="n">
        <v>300</v>
      </c>
      <c r="G66" s="18" t="n">
        <v>300</v>
      </c>
      <c r="H66" s="18" t="n">
        <v>300</v>
      </c>
      <c r="I66" s="18" t="n">
        <v>300</v>
      </c>
      <c r="J66" s="18" t="n">
        <v>300</v>
      </c>
      <c r="K66" s="18" t="n">
        <v>300</v>
      </c>
      <c r="L66" s="18" t="n">
        <v>300</v>
      </c>
      <c r="M66" s="18" t="n">
        <v>300</v>
      </c>
      <c r="N66" s="18" t="n">
        <v>300</v>
      </c>
      <c r="O66" s="18" t="n">
        <v>300</v>
      </c>
      <c r="P66" s="18" t="n">
        <v>300</v>
      </c>
      <c r="Q66" s="18" t="n">
        <v>300</v>
      </c>
      <c r="R66" s="18" t="n">
        <v>300</v>
      </c>
      <c r="S66" s="18" t="n">
        <v>300</v>
      </c>
      <c r="T66" s="18" t="n">
        <v>300</v>
      </c>
      <c r="U66" s="18" t="n">
        <v>300</v>
      </c>
      <c r="V66" s="18" t="n">
        <v>300</v>
      </c>
      <c r="W66" s="18" t="n">
        <v>300</v>
      </c>
      <c r="X66" s="18" t="n">
        <v>300</v>
      </c>
      <c r="Y66" s="18" t="n">
        <v>300</v>
      </c>
      <c r="Z66" s="18" t="n">
        <v>500</v>
      </c>
      <c r="AA66" s="18" t="n">
        <v>500</v>
      </c>
      <c r="AB66" s="18" t="n">
        <v>500</v>
      </c>
      <c r="AC66" s="18" t="n">
        <v>500</v>
      </c>
      <c r="AD66" s="18" t="n">
        <v>500</v>
      </c>
      <c r="AE66" s="18" t="n">
        <v>500</v>
      </c>
      <c r="AF66" s="18" t="n">
        <v>500</v>
      </c>
      <c r="AG66" s="18" t="n">
        <v>500</v>
      </c>
      <c r="AH66" s="18" t="n">
        <v>500</v>
      </c>
      <c r="AI66" s="18" t="n">
        <v>500</v>
      </c>
      <c r="AJ66" s="18" t="n">
        <v>500</v>
      </c>
      <c r="AK66" s="18" t="n">
        <v>500</v>
      </c>
      <c r="AL66" s="18" t="n">
        <v>700</v>
      </c>
      <c r="AM66" s="18" t="n">
        <v>700</v>
      </c>
      <c r="AN66" s="18" t="n">
        <v>700</v>
      </c>
      <c r="AO66" s="18" t="n">
        <v>700</v>
      </c>
      <c r="AP66" s="18" t="n">
        <v>700</v>
      </c>
      <c r="AQ66" s="18" t="n">
        <v>700</v>
      </c>
      <c r="AR66" s="18" t="n">
        <v>700</v>
      </c>
      <c r="AS66" s="18" t="n">
        <v>700</v>
      </c>
      <c r="AT66" s="18" t="n">
        <v>700</v>
      </c>
      <c r="AU66" s="18" t="n">
        <v>700</v>
      </c>
      <c r="AV66" s="18" t="n">
        <v>700</v>
      </c>
      <c r="AW66" s="18" t="n">
        <v>700</v>
      </c>
      <c r="AX66" s="18" t="n">
        <v>3600</v>
      </c>
      <c r="AY66" s="18" t="n">
        <v>3600</v>
      </c>
      <c r="AZ66" s="18" t="n">
        <v>6000</v>
      </c>
      <c r="BA66" s="18" t="n">
        <v>8400</v>
      </c>
    </row>
    <row r="67">
      <c r="A67" s="5" t="inlineStr">
        <is>
          <t xml:space="preserve">  — Workspace</t>
        </is>
      </c>
    </row>
    <row r="68">
      <c r="A68" s="3" t="inlineStr">
        <is>
          <t xml:space="preserve">  Legal retainer</t>
        </is>
      </c>
      <c r="B68" s="18" t="n">
        <v>250</v>
      </c>
      <c r="C68" s="18" t="n">
        <v>250</v>
      </c>
      <c r="D68" s="18" t="n">
        <v>250</v>
      </c>
      <c r="E68" s="18" t="n">
        <v>250</v>
      </c>
      <c r="F68" s="18" t="n">
        <v>250</v>
      </c>
      <c r="G68" s="18" t="n">
        <v>250</v>
      </c>
      <c r="H68" s="18" t="n">
        <v>250</v>
      </c>
      <c r="I68" s="18" t="n">
        <v>250</v>
      </c>
      <c r="J68" s="18" t="n">
        <v>250</v>
      </c>
      <c r="K68" s="18" t="n">
        <v>250</v>
      </c>
      <c r="L68" s="18" t="n">
        <v>250</v>
      </c>
      <c r="M68" s="18" t="n">
        <v>250</v>
      </c>
      <c r="N68" s="18" t="n">
        <v>250</v>
      </c>
      <c r="O68" s="18" t="n">
        <v>250</v>
      </c>
      <c r="P68" s="18" t="n">
        <v>250</v>
      </c>
      <c r="Q68" s="18" t="n">
        <v>250</v>
      </c>
      <c r="R68" s="18" t="n">
        <v>250</v>
      </c>
      <c r="S68" s="18" t="n">
        <v>250</v>
      </c>
      <c r="T68" s="18" t="n">
        <v>250</v>
      </c>
      <c r="U68" s="18" t="n">
        <v>250</v>
      </c>
      <c r="V68" s="18" t="n">
        <v>250</v>
      </c>
      <c r="W68" s="18" t="n">
        <v>250</v>
      </c>
      <c r="X68" s="18" t="n">
        <v>250</v>
      </c>
      <c r="Y68" s="18" t="n">
        <v>250</v>
      </c>
      <c r="Z68" s="18" t="n">
        <v>300</v>
      </c>
      <c r="AA68" s="18" t="n">
        <v>300</v>
      </c>
      <c r="AB68" s="18" t="n">
        <v>300</v>
      </c>
      <c r="AC68" s="18" t="n">
        <v>300</v>
      </c>
      <c r="AD68" s="18" t="n">
        <v>300</v>
      </c>
      <c r="AE68" s="18" t="n">
        <v>300</v>
      </c>
      <c r="AF68" s="18" t="n">
        <v>300</v>
      </c>
      <c r="AG68" s="18" t="n">
        <v>300</v>
      </c>
      <c r="AH68" s="18" t="n">
        <v>300</v>
      </c>
      <c r="AI68" s="18" t="n">
        <v>300</v>
      </c>
      <c r="AJ68" s="18" t="n">
        <v>300</v>
      </c>
      <c r="AK68" s="18" t="n">
        <v>300</v>
      </c>
      <c r="AL68" s="18" t="n">
        <v>400</v>
      </c>
      <c r="AM68" s="18" t="n">
        <v>400</v>
      </c>
      <c r="AN68" s="18" t="n">
        <v>400</v>
      </c>
      <c r="AO68" s="18" t="n">
        <v>400</v>
      </c>
      <c r="AP68" s="18" t="n">
        <v>400</v>
      </c>
      <c r="AQ68" s="18" t="n">
        <v>400</v>
      </c>
      <c r="AR68" s="18" t="n">
        <v>400</v>
      </c>
      <c r="AS68" s="18" t="n">
        <v>400</v>
      </c>
      <c r="AT68" s="18" t="n">
        <v>400</v>
      </c>
      <c r="AU68" s="18" t="n">
        <v>400</v>
      </c>
      <c r="AV68" s="18" t="n">
        <v>400</v>
      </c>
      <c r="AW68" s="18" t="n">
        <v>400</v>
      </c>
      <c r="AX68" s="18" t="n">
        <v>3000</v>
      </c>
      <c r="AY68" s="18" t="n">
        <v>3000</v>
      </c>
      <c r="AZ68" s="18" t="n">
        <v>3600</v>
      </c>
      <c r="BA68" s="18" t="n">
        <v>4800</v>
      </c>
    </row>
    <row r="69">
      <c r="A69" s="3" t="inlineStr">
        <is>
          <t xml:space="preserve">  D&amp;O insurance (CHF 1M cover)</t>
        </is>
      </c>
      <c r="B69" s="18" t="n">
        <v>167</v>
      </c>
      <c r="C69" s="18" t="n">
        <v>167</v>
      </c>
      <c r="D69" s="18" t="n">
        <v>167</v>
      </c>
      <c r="E69" s="18" t="n">
        <v>167</v>
      </c>
      <c r="F69" s="18" t="n">
        <v>167</v>
      </c>
      <c r="G69" s="18" t="n">
        <v>167</v>
      </c>
      <c r="H69" s="18" t="n">
        <v>167</v>
      </c>
      <c r="I69" s="18" t="n">
        <v>167</v>
      </c>
      <c r="J69" s="18" t="n">
        <v>167</v>
      </c>
      <c r="K69" s="18" t="n">
        <v>167</v>
      </c>
      <c r="L69" s="18" t="n">
        <v>167</v>
      </c>
      <c r="M69" s="18" t="n">
        <v>167</v>
      </c>
      <c r="N69" s="18" t="n">
        <v>167</v>
      </c>
      <c r="O69" s="18" t="n">
        <v>167</v>
      </c>
      <c r="P69" s="18" t="n">
        <v>167</v>
      </c>
      <c r="Q69" s="18" t="n">
        <v>167</v>
      </c>
      <c r="R69" s="18" t="n">
        <v>167</v>
      </c>
      <c r="S69" s="18" t="n">
        <v>167</v>
      </c>
      <c r="T69" s="18" t="n">
        <v>167</v>
      </c>
      <c r="U69" s="18" t="n">
        <v>167</v>
      </c>
      <c r="V69" s="18" t="n">
        <v>167</v>
      </c>
      <c r="W69" s="18" t="n">
        <v>167</v>
      </c>
      <c r="X69" s="18" t="n">
        <v>167</v>
      </c>
      <c r="Y69" s="18" t="n">
        <v>167</v>
      </c>
      <c r="Z69" s="18" t="n">
        <v>200</v>
      </c>
      <c r="AA69" s="18" t="n">
        <v>200</v>
      </c>
      <c r="AB69" s="18" t="n">
        <v>200</v>
      </c>
      <c r="AC69" s="18" t="n">
        <v>200</v>
      </c>
      <c r="AD69" s="18" t="n">
        <v>200</v>
      </c>
      <c r="AE69" s="18" t="n">
        <v>200</v>
      </c>
      <c r="AF69" s="18" t="n">
        <v>200</v>
      </c>
      <c r="AG69" s="18" t="n">
        <v>200</v>
      </c>
      <c r="AH69" s="18" t="n">
        <v>200</v>
      </c>
      <c r="AI69" s="18" t="n">
        <v>200</v>
      </c>
      <c r="AJ69" s="18" t="n">
        <v>200</v>
      </c>
      <c r="AK69" s="18" t="n">
        <v>200</v>
      </c>
      <c r="AL69" s="18" t="n">
        <v>250</v>
      </c>
      <c r="AM69" s="18" t="n">
        <v>250</v>
      </c>
      <c r="AN69" s="18" t="n">
        <v>250</v>
      </c>
      <c r="AO69" s="18" t="n">
        <v>250</v>
      </c>
      <c r="AP69" s="18" t="n">
        <v>250</v>
      </c>
      <c r="AQ69" s="18" t="n">
        <v>250</v>
      </c>
      <c r="AR69" s="18" t="n">
        <v>250</v>
      </c>
      <c r="AS69" s="18" t="n">
        <v>250</v>
      </c>
      <c r="AT69" s="18" t="n">
        <v>250</v>
      </c>
      <c r="AU69" s="18" t="n">
        <v>250</v>
      </c>
      <c r="AV69" s="18" t="n">
        <v>250</v>
      </c>
      <c r="AW69" s="18" t="n">
        <v>250</v>
      </c>
      <c r="AX69" s="18" t="n">
        <v>2004</v>
      </c>
      <c r="AY69" s="18" t="n">
        <v>2004</v>
      </c>
      <c r="AZ69" s="18" t="n">
        <v>2400</v>
      </c>
      <c r="BA69" s="18" t="n">
        <v>3000</v>
      </c>
    </row>
    <row r="70">
      <c r="A70" s="5" t="inlineStr">
        <is>
          <t xml:space="preserve">  — Sales &amp; Marketing</t>
        </is>
      </c>
    </row>
    <row r="71">
      <c r="A71" s="3" t="inlineStr">
        <is>
          <t xml:space="preserve">  Cyber insurance</t>
        </is>
      </c>
      <c r="B71" s="18" t="n">
        <v>34</v>
      </c>
      <c r="C71" s="18" t="n">
        <v>34</v>
      </c>
      <c r="D71" s="18" t="n">
        <v>34</v>
      </c>
      <c r="E71" s="18" t="n">
        <v>34</v>
      </c>
      <c r="F71" s="18" t="n">
        <v>34</v>
      </c>
      <c r="G71" s="18" t="n">
        <v>34</v>
      </c>
      <c r="H71" s="18" t="n">
        <v>34</v>
      </c>
      <c r="I71" s="18" t="n">
        <v>34</v>
      </c>
      <c r="J71" s="18" t="n">
        <v>34</v>
      </c>
      <c r="K71" s="18" t="n">
        <v>34</v>
      </c>
      <c r="L71" s="18" t="n">
        <v>34</v>
      </c>
      <c r="M71" s="18" t="n">
        <v>34</v>
      </c>
      <c r="N71" s="18" t="n">
        <v>34</v>
      </c>
      <c r="O71" s="18" t="n">
        <v>34</v>
      </c>
      <c r="P71" s="18" t="n">
        <v>34</v>
      </c>
      <c r="Q71" s="18" t="n">
        <v>34</v>
      </c>
      <c r="R71" s="18" t="n">
        <v>34</v>
      </c>
      <c r="S71" s="18" t="n">
        <v>34</v>
      </c>
      <c r="T71" s="18" t="n">
        <v>34</v>
      </c>
      <c r="U71" s="18" t="n">
        <v>34</v>
      </c>
      <c r="V71" s="18" t="n">
        <v>34</v>
      </c>
      <c r="W71" s="18" t="n">
        <v>34</v>
      </c>
      <c r="X71" s="18" t="n">
        <v>34</v>
      </c>
      <c r="Y71" s="18" t="n">
        <v>34</v>
      </c>
      <c r="Z71" s="18" t="n">
        <v>50</v>
      </c>
      <c r="AA71" s="18" t="n">
        <v>50</v>
      </c>
      <c r="AB71" s="18" t="n">
        <v>50</v>
      </c>
      <c r="AC71" s="18" t="n">
        <v>50</v>
      </c>
      <c r="AD71" s="18" t="n">
        <v>50</v>
      </c>
      <c r="AE71" s="18" t="n">
        <v>50</v>
      </c>
      <c r="AF71" s="18" t="n">
        <v>50</v>
      </c>
      <c r="AG71" s="18" t="n">
        <v>50</v>
      </c>
      <c r="AH71" s="18" t="n">
        <v>50</v>
      </c>
      <c r="AI71" s="18" t="n">
        <v>50</v>
      </c>
      <c r="AJ71" s="18" t="n">
        <v>50</v>
      </c>
      <c r="AK71" s="18" t="n">
        <v>50</v>
      </c>
      <c r="AL71" s="18" t="n">
        <v>75</v>
      </c>
      <c r="AM71" s="18" t="n">
        <v>75</v>
      </c>
      <c r="AN71" s="18" t="n">
        <v>75</v>
      </c>
      <c r="AO71" s="18" t="n">
        <v>75</v>
      </c>
      <c r="AP71" s="18" t="n">
        <v>75</v>
      </c>
      <c r="AQ71" s="18" t="n">
        <v>75</v>
      </c>
      <c r="AR71" s="18" t="n">
        <v>75</v>
      </c>
      <c r="AS71" s="18" t="n">
        <v>75</v>
      </c>
      <c r="AT71" s="18" t="n">
        <v>75</v>
      </c>
      <c r="AU71" s="18" t="n">
        <v>75</v>
      </c>
      <c r="AV71" s="18" t="n">
        <v>75</v>
      </c>
      <c r="AW71" s="18" t="n">
        <v>75</v>
      </c>
      <c r="AX71" s="18" t="n">
        <v>408</v>
      </c>
      <c r="AY71" s="18" t="n">
        <v>408</v>
      </c>
      <c r="AZ71" s="18" t="n">
        <v>600</v>
      </c>
      <c r="BA71" s="18" t="n">
        <v>900</v>
      </c>
    </row>
    <row r="72">
      <c r="A72" s="3" t="inlineStr">
        <is>
          <t xml:space="preserve">  General liability insurance</t>
        </is>
      </c>
      <c r="B72" s="18" t="n">
        <v>100</v>
      </c>
      <c r="C72" s="18" t="n">
        <v>100</v>
      </c>
      <c r="D72" s="18" t="n">
        <v>100</v>
      </c>
      <c r="E72" s="18" t="n">
        <v>100</v>
      </c>
      <c r="F72" s="18" t="n">
        <v>100</v>
      </c>
      <c r="G72" s="18" t="n">
        <v>100</v>
      </c>
      <c r="H72" s="18" t="n">
        <v>100</v>
      </c>
      <c r="I72" s="18" t="n">
        <v>100</v>
      </c>
      <c r="J72" s="18" t="n">
        <v>100</v>
      </c>
      <c r="K72" s="18" t="n">
        <v>100</v>
      </c>
      <c r="L72" s="18" t="n">
        <v>100</v>
      </c>
      <c r="M72" s="18" t="n">
        <v>100</v>
      </c>
      <c r="N72" s="18" t="n">
        <v>100</v>
      </c>
      <c r="O72" s="18" t="n">
        <v>100</v>
      </c>
      <c r="P72" s="18" t="n">
        <v>100</v>
      </c>
      <c r="Q72" s="18" t="n">
        <v>100</v>
      </c>
      <c r="R72" s="18" t="n">
        <v>100</v>
      </c>
      <c r="S72" s="18" t="n">
        <v>100</v>
      </c>
      <c r="T72" s="18" t="n">
        <v>100</v>
      </c>
      <c r="U72" s="18" t="n">
        <v>100</v>
      </c>
      <c r="V72" s="18" t="n">
        <v>100</v>
      </c>
      <c r="W72" s="18" t="n">
        <v>100</v>
      </c>
      <c r="X72" s="18" t="n">
        <v>100</v>
      </c>
      <c r="Y72" s="18" t="n">
        <v>100</v>
      </c>
      <c r="Z72" s="18" t="n">
        <v>100</v>
      </c>
      <c r="AA72" s="18" t="n">
        <v>100</v>
      </c>
      <c r="AB72" s="18" t="n">
        <v>100</v>
      </c>
      <c r="AC72" s="18" t="n">
        <v>100</v>
      </c>
      <c r="AD72" s="18" t="n">
        <v>100</v>
      </c>
      <c r="AE72" s="18" t="n">
        <v>100</v>
      </c>
      <c r="AF72" s="18" t="n">
        <v>100</v>
      </c>
      <c r="AG72" s="18" t="n">
        <v>100</v>
      </c>
      <c r="AH72" s="18" t="n">
        <v>100</v>
      </c>
      <c r="AI72" s="18" t="n">
        <v>100</v>
      </c>
      <c r="AJ72" s="18" t="n">
        <v>100</v>
      </c>
      <c r="AK72" s="18" t="n">
        <v>100</v>
      </c>
      <c r="AL72" s="18" t="n">
        <v>100</v>
      </c>
      <c r="AM72" s="18" t="n">
        <v>100</v>
      </c>
      <c r="AN72" s="18" t="n">
        <v>100</v>
      </c>
      <c r="AO72" s="18" t="n">
        <v>100</v>
      </c>
      <c r="AP72" s="18" t="n">
        <v>100</v>
      </c>
      <c r="AQ72" s="18" t="n">
        <v>100</v>
      </c>
      <c r="AR72" s="18" t="n">
        <v>100</v>
      </c>
      <c r="AS72" s="18" t="n">
        <v>100</v>
      </c>
      <c r="AT72" s="18" t="n">
        <v>100</v>
      </c>
      <c r="AU72" s="18" t="n">
        <v>100</v>
      </c>
      <c r="AV72" s="18" t="n">
        <v>100</v>
      </c>
      <c r="AW72" s="18" t="n">
        <v>100</v>
      </c>
      <c r="AX72" s="18" t="n">
        <v>1200</v>
      </c>
      <c r="AY72" s="18" t="n">
        <v>1200</v>
      </c>
      <c r="AZ72" s="18" t="n">
        <v>1200</v>
      </c>
      <c r="BA72" s="18" t="n">
        <v>1200</v>
      </c>
    </row>
    <row r="73">
      <c r="A73" s="5" t="inlineStr">
        <is>
          <t xml:space="preserve">  — Variable &amp; Other</t>
        </is>
      </c>
    </row>
    <row r="74">
      <c r="A74" s="3" t="inlineStr">
        <is>
          <t xml:space="preserve">  Banking + FX (UBS/Wise)</t>
        </is>
      </c>
      <c r="B74" s="18" t="n">
        <v>30</v>
      </c>
      <c r="C74" s="18" t="n">
        <v>30</v>
      </c>
      <c r="D74" s="18" t="n">
        <v>30</v>
      </c>
      <c r="E74" s="18" t="n">
        <v>30</v>
      </c>
      <c r="F74" s="18" t="n">
        <v>30</v>
      </c>
      <c r="G74" s="18" t="n">
        <v>30</v>
      </c>
      <c r="H74" s="18" t="n">
        <v>30</v>
      </c>
      <c r="I74" s="18" t="n">
        <v>30</v>
      </c>
      <c r="J74" s="18" t="n">
        <v>30</v>
      </c>
      <c r="K74" s="18" t="n">
        <v>30</v>
      </c>
      <c r="L74" s="18" t="n">
        <v>30</v>
      </c>
      <c r="M74" s="18" t="n">
        <v>30</v>
      </c>
      <c r="N74" s="18" t="n">
        <v>30</v>
      </c>
      <c r="O74" s="18" t="n">
        <v>30</v>
      </c>
      <c r="P74" s="18" t="n">
        <v>30</v>
      </c>
      <c r="Q74" s="18" t="n">
        <v>30</v>
      </c>
      <c r="R74" s="18" t="n">
        <v>30</v>
      </c>
      <c r="S74" s="18" t="n">
        <v>30</v>
      </c>
      <c r="T74" s="18" t="n">
        <v>30</v>
      </c>
      <c r="U74" s="18" t="n">
        <v>30</v>
      </c>
      <c r="V74" s="18" t="n">
        <v>30</v>
      </c>
      <c r="W74" s="18" t="n">
        <v>30</v>
      </c>
      <c r="X74" s="18" t="n">
        <v>30</v>
      </c>
      <c r="Y74" s="18" t="n">
        <v>30</v>
      </c>
      <c r="Z74" s="18" t="n">
        <v>50</v>
      </c>
      <c r="AA74" s="18" t="n">
        <v>50</v>
      </c>
      <c r="AB74" s="18" t="n">
        <v>50</v>
      </c>
      <c r="AC74" s="18" t="n">
        <v>50</v>
      </c>
      <c r="AD74" s="18" t="n">
        <v>50</v>
      </c>
      <c r="AE74" s="18" t="n">
        <v>50</v>
      </c>
      <c r="AF74" s="18" t="n">
        <v>50</v>
      </c>
      <c r="AG74" s="18" t="n">
        <v>50</v>
      </c>
      <c r="AH74" s="18" t="n">
        <v>50</v>
      </c>
      <c r="AI74" s="18" t="n">
        <v>50</v>
      </c>
      <c r="AJ74" s="18" t="n">
        <v>50</v>
      </c>
      <c r="AK74" s="18" t="n">
        <v>50</v>
      </c>
      <c r="AL74" s="18" t="n">
        <v>50</v>
      </c>
      <c r="AM74" s="18" t="n">
        <v>50</v>
      </c>
      <c r="AN74" s="18" t="n">
        <v>50</v>
      </c>
      <c r="AO74" s="18" t="n">
        <v>50</v>
      </c>
      <c r="AP74" s="18" t="n">
        <v>50</v>
      </c>
      <c r="AQ74" s="18" t="n">
        <v>50</v>
      </c>
      <c r="AR74" s="18" t="n">
        <v>50</v>
      </c>
      <c r="AS74" s="18" t="n">
        <v>50</v>
      </c>
      <c r="AT74" s="18" t="n">
        <v>50</v>
      </c>
      <c r="AU74" s="18" t="n">
        <v>50</v>
      </c>
      <c r="AV74" s="18" t="n">
        <v>50</v>
      </c>
      <c r="AW74" s="18" t="n">
        <v>50</v>
      </c>
      <c r="AX74" s="18" t="n">
        <v>360</v>
      </c>
      <c r="AY74" s="18" t="n">
        <v>360</v>
      </c>
      <c r="AZ74" s="18" t="n">
        <v>600</v>
      </c>
      <c r="BA74" s="18" t="n">
        <v>600</v>
      </c>
    </row>
    <row r="75">
      <c r="A75" s="3" t="inlineStr">
        <is>
          <t xml:space="preserve">  Internet (Sunrise 1Gbit)</t>
        </is>
      </c>
      <c r="B75" s="18" t="n">
        <v>40</v>
      </c>
      <c r="C75" s="18" t="n">
        <v>40</v>
      </c>
      <c r="D75" s="18" t="n">
        <v>40</v>
      </c>
      <c r="E75" s="18" t="n">
        <v>40</v>
      </c>
      <c r="F75" s="18" t="n">
        <v>40</v>
      </c>
      <c r="G75" s="18" t="n">
        <v>40</v>
      </c>
      <c r="H75" s="18" t="n">
        <v>40</v>
      </c>
      <c r="I75" s="18" t="n">
        <v>40</v>
      </c>
      <c r="J75" s="18" t="n">
        <v>40</v>
      </c>
      <c r="K75" s="18" t="n">
        <v>40</v>
      </c>
      <c r="L75" s="18" t="n">
        <v>40</v>
      </c>
      <c r="M75" s="18" t="n">
        <v>40</v>
      </c>
      <c r="N75" s="18" t="n">
        <v>40</v>
      </c>
      <c r="O75" s="18" t="n">
        <v>40</v>
      </c>
      <c r="P75" s="18" t="n">
        <v>40</v>
      </c>
      <c r="Q75" s="18" t="n">
        <v>40</v>
      </c>
      <c r="R75" s="18" t="n">
        <v>40</v>
      </c>
      <c r="S75" s="18" t="n">
        <v>40</v>
      </c>
      <c r="T75" s="18" t="n">
        <v>40</v>
      </c>
      <c r="U75" s="18" t="n">
        <v>40</v>
      </c>
      <c r="V75" s="18" t="n">
        <v>40</v>
      </c>
      <c r="W75" s="18" t="n">
        <v>40</v>
      </c>
      <c r="X75" s="18" t="n">
        <v>40</v>
      </c>
      <c r="Y75" s="18" t="n">
        <v>40</v>
      </c>
      <c r="Z75" s="18" t="n">
        <v>40</v>
      </c>
      <c r="AA75" s="18" t="n">
        <v>40</v>
      </c>
      <c r="AB75" s="18" t="n">
        <v>40</v>
      </c>
      <c r="AC75" s="18" t="n">
        <v>40</v>
      </c>
      <c r="AD75" s="18" t="n">
        <v>40</v>
      </c>
      <c r="AE75" s="18" t="n">
        <v>40</v>
      </c>
      <c r="AF75" s="18" t="n">
        <v>40</v>
      </c>
      <c r="AG75" s="18" t="n">
        <v>40</v>
      </c>
      <c r="AH75" s="18" t="n">
        <v>40</v>
      </c>
      <c r="AI75" s="18" t="n">
        <v>40</v>
      </c>
      <c r="AJ75" s="18" t="n">
        <v>40</v>
      </c>
      <c r="AK75" s="18" t="n">
        <v>40</v>
      </c>
      <c r="AL75" s="18" t="n">
        <v>40</v>
      </c>
      <c r="AM75" s="18" t="n">
        <v>40</v>
      </c>
      <c r="AN75" s="18" t="n">
        <v>40</v>
      </c>
      <c r="AO75" s="18" t="n">
        <v>40</v>
      </c>
      <c r="AP75" s="18" t="n">
        <v>40</v>
      </c>
      <c r="AQ75" s="18" t="n">
        <v>40</v>
      </c>
      <c r="AR75" s="18" t="n">
        <v>40</v>
      </c>
      <c r="AS75" s="18" t="n">
        <v>40</v>
      </c>
      <c r="AT75" s="18" t="n">
        <v>40</v>
      </c>
      <c r="AU75" s="18" t="n">
        <v>40</v>
      </c>
      <c r="AV75" s="18" t="n">
        <v>40</v>
      </c>
      <c r="AW75" s="18" t="n">
        <v>40</v>
      </c>
      <c r="AX75" s="18" t="n">
        <v>480</v>
      </c>
      <c r="AY75" s="18" t="n">
        <v>480</v>
      </c>
      <c r="AZ75" s="18" t="n">
        <v>480</v>
      </c>
      <c r="BA75" s="18" t="n">
        <v>480</v>
      </c>
    </row>
    <row r="76">
      <c r="A76" s="5" t="inlineStr">
        <is>
          <t xml:space="preserve">  — One-Time (M1 only)</t>
        </is>
      </c>
    </row>
    <row r="77">
      <c r="A77" s="3" t="inlineStr">
        <is>
          <t xml:space="preserve">  Coworking (Westhive Zug)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  <c r="G77" s="18" t="n">
        <v>0</v>
      </c>
      <c r="H77" s="18" t="n">
        <v>0</v>
      </c>
      <c r="I77" s="18" t="n">
        <v>0</v>
      </c>
      <c r="J77" s="18" t="n">
        <v>0</v>
      </c>
      <c r="K77" s="18" t="n">
        <v>0</v>
      </c>
      <c r="L77" s="18" t="n">
        <v>0</v>
      </c>
      <c r="M77" s="18" t="n">
        <v>0</v>
      </c>
      <c r="N77" s="18" t="n">
        <v>350</v>
      </c>
      <c r="O77" s="18" t="n">
        <v>350</v>
      </c>
      <c r="P77" s="18" t="n">
        <v>350</v>
      </c>
      <c r="Q77" s="18" t="n">
        <v>350</v>
      </c>
      <c r="R77" s="18" t="n">
        <v>350</v>
      </c>
      <c r="S77" s="18" t="n">
        <v>350</v>
      </c>
      <c r="T77" s="18" t="n">
        <v>350</v>
      </c>
      <c r="U77" s="18" t="n">
        <v>350</v>
      </c>
      <c r="V77" s="18" t="n">
        <v>350</v>
      </c>
      <c r="W77" s="18" t="n">
        <v>350</v>
      </c>
      <c r="X77" s="18" t="n">
        <v>350</v>
      </c>
      <c r="Y77" s="18" t="n">
        <v>350</v>
      </c>
      <c r="Z77" s="18" t="n">
        <v>500</v>
      </c>
      <c r="AA77" s="18" t="n">
        <v>500</v>
      </c>
      <c r="AB77" s="18" t="n">
        <v>500</v>
      </c>
      <c r="AC77" s="18" t="n">
        <v>500</v>
      </c>
      <c r="AD77" s="18" t="n">
        <v>500</v>
      </c>
      <c r="AE77" s="18" t="n">
        <v>500</v>
      </c>
      <c r="AF77" s="18" t="n">
        <v>500</v>
      </c>
      <c r="AG77" s="18" t="n">
        <v>500</v>
      </c>
      <c r="AH77" s="18" t="n">
        <v>500</v>
      </c>
      <c r="AI77" s="18" t="n">
        <v>500</v>
      </c>
      <c r="AJ77" s="18" t="n">
        <v>500</v>
      </c>
      <c r="AK77" s="18" t="n">
        <v>500</v>
      </c>
      <c r="AL77" s="18" t="n">
        <v>700</v>
      </c>
      <c r="AM77" s="18" t="n">
        <v>700</v>
      </c>
      <c r="AN77" s="18" t="n">
        <v>700</v>
      </c>
      <c r="AO77" s="18" t="n">
        <v>700</v>
      </c>
      <c r="AP77" s="18" t="n">
        <v>700</v>
      </c>
      <c r="AQ77" s="18" t="n">
        <v>700</v>
      </c>
      <c r="AR77" s="18" t="n">
        <v>700</v>
      </c>
      <c r="AS77" s="18" t="n">
        <v>700</v>
      </c>
      <c r="AT77" s="18" t="n">
        <v>700</v>
      </c>
      <c r="AU77" s="18" t="n">
        <v>700</v>
      </c>
      <c r="AV77" s="18" t="n">
        <v>700</v>
      </c>
      <c r="AW77" s="18" t="n">
        <v>700</v>
      </c>
      <c r="AX77" s="18" t="n">
        <v>0</v>
      </c>
      <c r="AY77" s="18" t="n">
        <v>4200</v>
      </c>
      <c r="AZ77" s="18" t="n">
        <v>6000</v>
      </c>
      <c r="BA77" s="18" t="n">
        <v>8400</v>
      </c>
    </row>
    <row r="78">
      <c r="A78" s="3" t="inlineStr">
        <is>
          <t xml:space="preserve">  Travel (client visits)</t>
        </is>
      </c>
      <c r="B78" s="18" t="n">
        <v>400</v>
      </c>
      <c r="C78" s="18" t="n">
        <v>400</v>
      </c>
      <c r="D78" s="18" t="n">
        <v>400</v>
      </c>
      <c r="E78" s="18" t="n">
        <v>400</v>
      </c>
      <c r="F78" s="18" t="n">
        <v>400</v>
      </c>
      <c r="G78" s="18" t="n">
        <v>400</v>
      </c>
      <c r="H78" s="18" t="n">
        <v>400</v>
      </c>
      <c r="I78" s="18" t="n">
        <v>400</v>
      </c>
      <c r="J78" s="18" t="n">
        <v>400</v>
      </c>
      <c r="K78" s="18" t="n">
        <v>400</v>
      </c>
      <c r="L78" s="18" t="n">
        <v>400</v>
      </c>
      <c r="M78" s="18" t="n">
        <v>400</v>
      </c>
      <c r="N78" s="18" t="n">
        <v>1000</v>
      </c>
      <c r="O78" s="18" t="n">
        <v>1000</v>
      </c>
      <c r="P78" s="18" t="n">
        <v>1000</v>
      </c>
      <c r="Q78" s="18" t="n">
        <v>1000</v>
      </c>
      <c r="R78" s="18" t="n">
        <v>1000</v>
      </c>
      <c r="S78" s="18" t="n">
        <v>1000</v>
      </c>
      <c r="T78" s="18" t="n">
        <v>1000</v>
      </c>
      <c r="U78" s="18" t="n">
        <v>1000</v>
      </c>
      <c r="V78" s="18" t="n">
        <v>1000</v>
      </c>
      <c r="W78" s="18" t="n">
        <v>1000</v>
      </c>
      <c r="X78" s="18" t="n">
        <v>1000</v>
      </c>
      <c r="Y78" s="18" t="n">
        <v>1000</v>
      </c>
      <c r="Z78" s="18" t="n">
        <v>1500</v>
      </c>
      <c r="AA78" s="18" t="n">
        <v>1500</v>
      </c>
      <c r="AB78" s="18" t="n">
        <v>1500</v>
      </c>
      <c r="AC78" s="18" t="n">
        <v>1500</v>
      </c>
      <c r="AD78" s="18" t="n">
        <v>1500</v>
      </c>
      <c r="AE78" s="18" t="n">
        <v>1500</v>
      </c>
      <c r="AF78" s="18" t="n">
        <v>1500</v>
      </c>
      <c r="AG78" s="18" t="n">
        <v>1500</v>
      </c>
      <c r="AH78" s="18" t="n">
        <v>1500</v>
      </c>
      <c r="AI78" s="18" t="n">
        <v>1500</v>
      </c>
      <c r="AJ78" s="18" t="n">
        <v>1500</v>
      </c>
      <c r="AK78" s="18" t="n">
        <v>1500</v>
      </c>
      <c r="AL78" s="18" t="n">
        <v>2000</v>
      </c>
      <c r="AM78" s="18" t="n">
        <v>2000</v>
      </c>
      <c r="AN78" s="18" t="n">
        <v>2000</v>
      </c>
      <c r="AO78" s="18" t="n">
        <v>2000</v>
      </c>
      <c r="AP78" s="18" t="n">
        <v>2000</v>
      </c>
      <c r="AQ78" s="18" t="n">
        <v>2000</v>
      </c>
      <c r="AR78" s="18" t="n">
        <v>2000</v>
      </c>
      <c r="AS78" s="18" t="n">
        <v>2000</v>
      </c>
      <c r="AT78" s="18" t="n">
        <v>2000</v>
      </c>
      <c r="AU78" s="18" t="n">
        <v>2000</v>
      </c>
      <c r="AV78" s="18" t="n">
        <v>2000</v>
      </c>
      <c r="AW78" s="18" t="n">
        <v>2000</v>
      </c>
      <c r="AX78" s="18" t="n">
        <v>4800</v>
      </c>
      <c r="AY78" s="18" t="n">
        <v>12000</v>
      </c>
      <c r="AZ78" s="18" t="n">
        <v>18000</v>
      </c>
      <c r="BA78" s="18" t="n">
        <v>24000</v>
      </c>
    </row>
    <row r="79">
      <c r="A79" s="3" t="inlineStr">
        <is>
          <t xml:space="preserve">  Marketing &amp; events</t>
        </is>
      </c>
      <c r="B79" s="18" t="n">
        <v>500</v>
      </c>
      <c r="C79" s="18" t="n">
        <v>500</v>
      </c>
      <c r="D79" s="18" t="n">
        <v>500</v>
      </c>
      <c r="E79" s="18" t="n">
        <v>500</v>
      </c>
      <c r="F79" s="18" t="n">
        <v>500</v>
      </c>
      <c r="G79" s="18" t="n">
        <v>500</v>
      </c>
      <c r="H79" s="18" t="n">
        <v>500</v>
      </c>
      <c r="I79" s="18" t="n">
        <v>500</v>
      </c>
      <c r="J79" s="18" t="n">
        <v>500</v>
      </c>
      <c r="K79" s="18" t="n">
        <v>500</v>
      </c>
      <c r="L79" s="18" t="n">
        <v>500</v>
      </c>
      <c r="M79" s="18" t="n">
        <v>500</v>
      </c>
      <c r="N79" s="18" t="n">
        <v>1500</v>
      </c>
      <c r="O79" s="18" t="n">
        <v>1500</v>
      </c>
      <c r="P79" s="18" t="n">
        <v>1500</v>
      </c>
      <c r="Q79" s="18" t="n">
        <v>1500</v>
      </c>
      <c r="R79" s="18" t="n">
        <v>1500</v>
      </c>
      <c r="S79" s="18" t="n">
        <v>1500</v>
      </c>
      <c r="T79" s="18" t="n">
        <v>1500</v>
      </c>
      <c r="U79" s="18" t="n">
        <v>1500</v>
      </c>
      <c r="V79" s="18" t="n">
        <v>1500</v>
      </c>
      <c r="W79" s="18" t="n">
        <v>1500</v>
      </c>
      <c r="X79" s="18" t="n">
        <v>1500</v>
      </c>
      <c r="Y79" s="18" t="n">
        <v>1500</v>
      </c>
      <c r="Z79" s="18" t="n">
        <v>2500</v>
      </c>
      <c r="AA79" s="18" t="n">
        <v>2500</v>
      </c>
      <c r="AB79" s="18" t="n">
        <v>2500</v>
      </c>
      <c r="AC79" s="18" t="n">
        <v>2500</v>
      </c>
      <c r="AD79" s="18" t="n">
        <v>2500</v>
      </c>
      <c r="AE79" s="18" t="n">
        <v>2500</v>
      </c>
      <c r="AF79" s="18" t="n">
        <v>2500</v>
      </c>
      <c r="AG79" s="18" t="n">
        <v>2500</v>
      </c>
      <c r="AH79" s="18" t="n">
        <v>2500</v>
      </c>
      <c r="AI79" s="18" t="n">
        <v>2500</v>
      </c>
      <c r="AJ79" s="18" t="n">
        <v>2500</v>
      </c>
      <c r="AK79" s="18" t="n">
        <v>2500</v>
      </c>
      <c r="AL79" s="18" t="n">
        <v>3500</v>
      </c>
      <c r="AM79" s="18" t="n">
        <v>3500</v>
      </c>
      <c r="AN79" s="18" t="n">
        <v>3500</v>
      </c>
      <c r="AO79" s="18" t="n">
        <v>3500</v>
      </c>
      <c r="AP79" s="18" t="n">
        <v>3500</v>
      </c>
      <c r="AQ79" s="18" t="n">
        <v>3500</v>
      </c>
      <c r="AR79" s="18" t="n">
        <v>3500</v>
      </c>
      <c r="AS79" s="18" t="n">
        <v>3500</v>
      </c>
      <c r="AT79" s="18" t="n">
        <v>3500</v>
      </c>
      <c r="AU79" s="18" t="n">
        <v>3500</v>
      </c>
      <c r="AV79" s="18" t="n">
        <v>3500</v>
      </c>
      <c r="AW79" s="18" t="n">
        <v>3500</v>
      </c>
      <c r="AX79" s="18" t="n">
        <v>6000</v>
      </c>
      <c r="AY79" s="18" t="n">
        <v>18000</v>
      </c>
      <c r="AZ79" s="18" t="n">
        <v>30000</v>
      </c>
      <c r="BA79" s="18" t="n">
        <v>42000</v>
      </c>
    </row>
    <row r="80">
      <c r="A80" s="3" t="inlineStr">
        <is>
          <t xml:space="preserve">  Payment processing (Stripe 3%)</t>
        </is>
      </c>
      <c r="B80" s="18" t="n">
        <v>0</v>
      </c>
      <c r="C80" s="18" t="n">
        <v>0</v>
      </c>
      <c r="D80" s="18" t="n">
        <v>0</v>
      </c>
      <c r="E80" s="18" t="n">
        <v>83</v>
      </c>
      <c r="F80" s="18" t="n">
        <v>83</v>
      </c>
      <c r="G80" s="18" t="n">
        <v>332</v>
      </c>
      <c r="H80" s="18" t="n">
        <v>387</v>
      </c>
      <c r="I80" s="18" t="n">
        <v>443</v>
      </c>
      <c r="J80" s="18" t="n">
        <v>498</v>
      </c>
      <c r="K80" s="18" t="n">
        <v>553</v>
      </c>
      <c r="L80" s="18" t="n">
        <v>609</v>
      </c>
      <c r="M80" s="18" t="n">
        <v>1245</v>
      </c>
      <c r="N80" s="18" t="n">
        <v>1301</v>
      </c>
      <c r="O80" s="18" t="n">
        <v>1356</v>
      </c>
      <c r="P80" s="18" t="n">
        <v>1494</v>
      </c>
      <c r="Q80" s="18" t="n">
        <v>1550</v>
      </c>
      <c r="R80" s="18" t="n">
        <v>1909</v>
      </c>
      <c r="S80" s="18" t="n">
        <v>2186</v>
      </c>
      <c r="T80" s="18" t="n">
        <v>2324</v>
      </c>
      <c r="U80" s="18" t="n">
        <v>2380</v>
      </c>
      <c r="V80" s="18" t="n">
        <v>2629</v>
      </c>
      <c r="W80" s="18" t="n">
        <v>2684</v>
      </c>
      <c r="X80" s="18" t="n">
        <v>3487</v>
      </c>
      <c r="Y80" s="18" t="n">
        <v>5213</v>
      </c>
      <c r="Z80" s="18" t="n">
        <v>5374</v>
      </c>
      <c r="AA80" s="18" t="n">
        <v>5457</v>
      </c>
      <c r="AB80" s="18" t="n">
        <v>6353</v>
      </c>
      <c r="AC80" s="18" t="n">
        <v>6436</v>
      </c>
      <c r="AD80" s="18" t="n">
        <v>7062</v>
      </c>
      <c r="AE80" s="18" t="n">
        <v>7145</v>
      </c>
      <c r="AF80" s="18" t="n">
        <v>7734</v>
      </c>
      <c r="AG80" s="18" t="n">
        <v>7817</v>
      </c>
      <c r="AH80" s="18" t="n">
        <v>8210</v>
      </c>
      <c r="AI80" s="18" t="n">
        <v>8293</v>
      </c>
      <c r="AJ80" s="18" t="n">
        <v>9074</v>
      </c>
      <c r="AK80" s="18" t="n">
        <v>9157</v>
      </c>
      <c r="AL80" s="18" t="n">
        <v>12652</v>
      </c>
      <c r="AM80" s="18" t="n">
        <v>12762</v>
      </c>
      <c r="AN80" s="18" t="n">
        <v>13471</v>
      </c>
      <c r="AO80" s="18" t="n">
        <v>13581</v>
      </c>
      <c r="AP80" s="18" t="n">
        <v>13941</v>
      </c>
      <c r="AQ80" s="18" t="n">
        <v>14052</v>
      </c>
      <c r="AR80" s="18" t="n">
        <v>15408</v>
      </c>
      <c r="AS80" s="18" t="n">
        <v>15518</v>
      </c>
      <c r="AT80" s="18" t="n">
        <v>16028</v>
      </c>
      <c r="AU80" s="18" t="n">
        <v>16138</v>
      </c>
      <c r="AV80" s="18" t="n">
        <v>16946</v>
      </c>
      <c r="AW80" s="18" t="n">
        <v>17057</v>
      </c>
      <c r="AX80" s="18" t="n">
        <v>4233</v>
      </c>
      <c r="AY80" s="18" t="n">
        <v>28513</v>
      </c>
      <c r="AZ80" s="18" t="n">
        <v>88112</v>
      </c>
      <c r="BA80" s="18" t="n">
        <v>177554</v>
      </c>
    </row>
    <row r="81">
      <c r="A81" s="3" t="inlineStr">
        <is>
          <t xml:space="preserve">  Contingency buffer</t>
        </is>
      </c>
      <c r="B81" s="18" t="n">
        <v>300</v>
      </c>
      <c r="C81" s="18" t="n">
        <v>300</v>
      </c>
      <c r="D81" s="18" t="n">
        <v>300</v>
      </c>
      <c r="E81" s="18" t="n">
        <v>300</v>
      </c>
      <c r="F81" s="18" t="n">
        <v>300</v>
      </c>
      <c r="G81" s="18" t="n">
        <v>300</v>
      </c>
      <c r="H81" s="18" t="n">
        <v>300</v>
      </c>
      <c r="I81" s="18" t="n">
        <v>300</v>
      </c>
      <c r="J81" s="18" t="n">
        <v>300</v>
      </c>
      <c r="K81" s="18" t="n">
        <v>300</v>
      </c>
      <c r="L81" s="18" t="n">
        <v>300</v>
      </c>
      <c r="M81" s="18" t="n">
        <v>300</v>
      </c>
      <c r="N81" s="18" t="n">
        <v>300</v>
      </c>
      <c r="O81" s="18" t="n">
        <v>300</v>
      </c>
      <c r="P81" s="18" t="n">
        <v>300</v>
      </c>
      <c r="Q81" s="18" t="n">
        <v>300</v>
      </c>
      <c r="R81" s="18" t="n">
        <v>300</v>
      </c>
      <c r="S81" s="18" t="n">
        <v>300</v>
      </c>
      <c r="T81" s="18" t="n">
        <v>300</v>
      </c>
      <c r="U81" s="18" t="n">
        <v>300</v>
      </c>
      <c r="V81" s="18" t="n">
        <v>300</v>
      </c>
      <c r="W81" s="18" t="n">
        <v>300</v>
      </c>
      <c r="X81" s="18" t="n">
        <v>300</v>
      </c>
      <c r="Y81" s="18" t="n">
        <v>300</v>
      </c>
      <c r="Z81" s="18" t="n">
        <v>300</v>
      </c>
      <c r="AA81" s="18" t="n">
        <v>300</v>
      </c>
      <c r="AB81" s="18" t="n">
        <v>300</v>
      </c>
      <c r="AC81" s="18" t="n">
        <v>300</v>
      </c>
      <c r="AD81" s="18" t="n">
        <v>300</v>
      </c>
      <c r="AE81" s="18" t="n">
        <v>300</v>
      </c>
      <c r="AF81" s="18" t="n">
        <v>300</v>
      </c>
      <c r="AG81" s="18" t="n">
        <v>300</v>
      </c>
      <c r="AH81" s="18" t="n">
        <v>300</v>
      </c>
      <c r="AI81" s="18" t="n">
        <v>300</v>
      </c>
      <c r="AJ81" s="18" t="n">
        <v>300</v>
      </c>
      <c r="AK81" s="18" t="n">
        <v>300</v>
      </c>
      <c r="AL81" s="18" t="n">
        <v>300</v>
      </c>
      <c r="AM81" s="18" t="n">
        <v>300</v>
      </c>
      <c r="AN81" s="18" t="n">
        <v>300</v>
      </c>
      <c r="AO81" s="18" t="n">
        <v>300</v>
      </c>
      <c r="AP81" s="18" t="n">
        <v>300</v>
      </c>
      <c r="AQ81" s="18" t="n">
        <v>300</v>
      </c>
      <c r="AR81" s="18" t="n">
        <v>300</v>
      </c>
      <c r="AS81" s="18" t="n">
        <v>300</v>
      </c>
      <c r="AT81" s="18" t="n">
        <v>300</v>
      </c>
      <c r="AU81" s="18" t="n">
        <v>300</v>
      </c>
      <c r="AV81" s="18" t="n">
        <v>300</v>
      </c>
      <c r="AW81" s="18" t="n">
        <v>300</v>
      </c>
      <c r="AX81" s="18" t="n">
        <v>3600</v>
      </c>
      <c r="AY81" s="18" t="n">
        <v>3600</v>
      </c>
      <c r="AZ81" s="18" t="n">
        <v>3600</v>
      </c>
      <c r="BA81" s="18" t="n">
        <v>3600</v>
      </c>
    </row>
    <row r="82">
      <c r="A82" s="3" t="inlineStr">
        <is>
          <t xml:space="preserve">  One-time: Nexova AG Plus formation</t>
        </is>
      </c>
      <c r="B82" s="18" t="n">
        <v>690</v>
      </c>
      <c r="C82" s="18" t="n">
        <v>0</v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0</v>
      </c>
      <c r="I82" s="18" t="n">
        <v>0</v>
      </c>
      <c r="J82" s="18" t="n">
        <v>0</v>
      </c>
      <c r="K82" s="18" t="n">
        <v>0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  <c r="Q82" s="18" t="n">
        <v>0</v>
      </c>
      <c r="R82" s="18" t="n">
        <v>0</v>
      </c>
      <c r="S82" s="18" t="n">
        <v>0</v>
      </c>
      <c r="T82" s="18" t="n">
        <v>0</v>
      </c>
      <c r="U82" s="18" t="n">
        <v>0</v>
      </c>
      <c r="V82" s="18" t="n">
        <v>0</v>
      </c>
      <c r="W82" s="18" t="n">
        <v>0</v>
      </c>
      <c r="X82" s="18" t="n">
        <v>0</v>
      </c>
      <c r="Y82" s="18" t="n">
        <v>0</v>
      </c>
      <c r="Z82" s="18" t="n">
        <v>0</v>
      </c>
      <c r="AA82" s="18" t="n">
        <v>0</v>
      </c>
      <c r="AB82" s="18" t="n">
        <v>0</v>
      </c>
      <c r="AC82" s="18" t="n">
        <v>0</v>
      </c>
      <c r="AD82" s="18" t="n">
        <v>0</v>
      </c>
      <c r="AE82" s="18" t="n">
        <v>0</v>
      </c>
      <c r="AF82" s="18" t="n">
        <v>0</v>
      </c>
      <c r="AG82" s="18" t="n">
        <v>0</v>
      </c>
      <c r="AH82" s="18" t="n">
        <v>0</v>
      </c>
      <c r="AI82" s="18" t="n">
        <v>0</v>
      </c>
      <c r="AJ82" s="18" t="n">
        <v>0</v>
      </c>
      <c r="AK82" s="18" t="n">
        <v>0</v>
      </c>
      <c r="AL82" s="18" t="n">
        <v>0</v>
      </c>
      <c r="AM82" s="18" t="n">
        <v>0</v>
      </c>
      <c r="AN82" s="18" t="n">
        <v>0</v>
      </c>
      <c r="AO82" s="18" t="n">
        <v>0</v>
      </c>
      <c r="AP82" s="18" t="n">
        <v>0</v>
      </c>
      <c r="AQ82" s="18" t="n">
        <v>0</v>
      </c>
      <c r="AR82" s="18" t="n">
        <v>0</v>
      </c>
      <c r="AS82" s="18" t="n">
        <v>0</v>
      </c>
      <c r="AT82" s="18" t="n">
        <v>0</v>
      </c>
      <c r="AU82" s="18" t="n">
        <v>0</v>
      </c>
      <c r="AV82" s="18" t="n">
        <v>0</v>
      </c>
      <c r="AW82" s="18" t="n">
        <v>0</v>
      </c>
      <c r="AX82" s="18" t="n">
        <v>690</v>
      </c>
      <c r="AY82" s="18" t="n">
        <v>0</v>
      </c>
      <c r="AZ82" s="18" t="n">
        <v>0</v>
      </c>
      <c r="BA82" s="18" t="n">
        <v>0</v>
      </c>
    </row>
    <row r="83">
      <c r="A83" s="3" t="inlineStr">
        <is>
          <t xml:space="preserve">  One-time: Commercial register entry</t>
        </is>
      </c>
      <c r="B83" s="18" t="n">
        <v>650</v>
      </c>
      <c r="C83" s="18" t="n">
        <v>0</v>
      </c>
      <c r="D83" s="18" t="n">
        <v>0</v>
      </c>
      <c r="E83" s="18" t="n">
        <v>0</v>
      </c>
      <c r="F83" s="18" t="n">
        <v>0</v>
      </c>
      <c r="G83" s="18" t="n">
        <v>0</v>
      </c>
      <c r="H83" s="18" t="n">
        <v>0</v>
      </c>
      <c r="I83" s="18" t="n">
        <v>0</v>
      </c>
      <c r="J83" s="18" t="n">
        <v>0</v>
      </c>
      <c r="K83" s="18" t="n">
        <v>0</v>
      </c>
      <c r="L83" s="18" t="n">
        <v>0</v>
      </c>
      <c r="M83" s="18" t="n">
        <v>0</v>
      </c>
      <c r="N83" s="18" t="n">
        <v>0</v>
      </c>
      <c r="O83" s="18" t="n">
        <v>0</v>
      </c>
      <c r="P83" s="18" t="n">
        <v>0</v>
      </c>
      <c r="Q83" s="18" t="n">
        <v>0</v>
      </c>
      <c r="R83" s="18" t="n">
        <v>0</v>
      </c>
      <c r="S83" s="18" t="n">
        <v>0</v>
      </c>
      <c r="T83" s="18" t="n">
        <v>0</v>
      </c>
      <c r="U83" s="18" t="n">
        <v>0</v>
      </c>
      <c r="V83" s="18" t="n">
        <v>0</v>
      </c>
      <c r="W83" s="18" t="n">
        <v>0</v>
      </c>
      <c r="X83" s="18" t="n">
        <v>0</v>
      </c>
      <c r="Y83" s="18" t="n">
        <v>0</v>
      </c>
      <c r="Z83" s="18" t="n">
        <v>0</v>
      </c>
      <c r="AA83" s="18" t="n">
        <v>0</v>
      </c>
      <c r="AB83" s="18" t="n">
        <v>0</v>
      </c>
      <c r="AC83" s="18" t="n">
        <v>0</v>
      </c>
      <c r="AD83" s="18" t="n">
        <v>0</v>
      </c>
      <c r="AE83" s="18" t="n">
        <v>0</v>
      </c>
      <c r="AF83" s="18" t="n">
        <v>0</v>
      </c>
      <c r="AG83" s="18" t="n">
        <v>0</v>
      </c>
      <c r="AH83" s="18" t="n">
        <v>0</v>
      </c>
      <c r="AI83" s="18" t="n">
        <v>0</v>
      </c>
      <c r="AJ83" s="18" t="n">
        <v>0</v>
      </c>
      <c r="AK83" s="18" t="n">
        <v>0</v>
      </c>
      <c r="AL83" s="18" t="n">
        <v>0</v>
      </c>
      <c r="AM83" s="18" t="n">
        <v>0</v>
      </c>
      <c r="AN83" s="18" t="n">
        <v>0</v>
      </c>
      <c r="AO83" s="18" t="n">
        <v>0</v>
      </c>
      <c r="AP83" s="18" t="n">
        <v>0</v>
      </c>
      <c r="AQ83" s="18" t="n">
        <v>0</v>
      </c>
      <c r="AR83" s="18" t="n">
        <v>0</v>
      </c>
      <c r="AS83" s="18" t="n">
        <v>0</v>
      </c>
      <c r="AT83" s="18" t="n">
        <v>0</v>
      </c>
      <c r="AU83" s="18" t="n">
        <v>0</v>
      </c>
      <c r="AV83" s="18" t="n">
        <v>0</v>
      </c>
      <c r="AW83" s="18" t="n">
        <v>0</v>
      </c>
      <c r="AX83" s="18" t="n">
        <v>650</v>
      </c>
      <c r="AY83" s="18" t="n">
        <v>0</v>
      </c>
      <c r="AZ83" s="18" t="n">
        <v>0</v>
      </c>
      <c r="BA83" s="18" t="n">
        <v>0</v>
      </c>
    </row>
    <row r="84">
      <c r="A84" s="3" t="inlineStr">
        <is>
          <t xml:space="preserve">  One-time: Notary fee (Zug tariff)</t>
        </is>
      </c>
      <c r="B84" s="18" t="n">
        <v>1000</v>
      </c>
      <c r="C84" s="18" t="n">
        <v>0</v>
      </c>
      <c r="D84" s="18" t="n">
        <v>0</v>
      </c>
      <c r="E84" s="18" t="n">
        <v>0</v>
      </c>
      <c r="F84" s="18" t="n">
        <v>0</v>
      </c>
      <c r="G84" s="18" t="n">
        <v>0</v>
      </c>
      <c r="H84" s="18" t="n">
        <v>0</v>
      </c>
      <c r="I84" s="18" t="n">
        <v>0</v>
      </c>
      <c r="J84" s="18" t="n">
        <v>0</v>
      </c>
      <c r="K84" s="18" t="n">
        <v>0</v>
      </c>
      <c r="L84" s="18" t="n">
        <v>0</v>
      </c>
      <c r="M84" s="18" t="n">
        <v>0</v>
      </c>
      <c r="N84" s="18" t="n">
        <v>0</v>
      </c>
      <c r="O84" s="18" t="n">
        <v>0</v>
      </c>
      <c r="P84" s="18" t="n">
        <v>0</v>
      </c>
      <c r="Q84" s="18" t="n">
        <v>0</v>
      </c>
      <c r="R84" s="18" t="n">
        <v>0</v>
      </c>
      <c r="S84" s="18" t="n">
        <v>0</v>
      </c>
      <c r="T84" s="18" t="n">
        <v>0</v>
      </c>
      <c r="U84" s="18" t="n">
        <v>0</v>
      </c>
      <c r="V84" s="18" t="n">
        <v>0</v>
      </c>
      <c r="W84" s="18" t="n">
        <v>0</v>
      </c>
      <c r="X84" s="18" t="n">
        <v>0</v>
      </c>
      <c r="Y84" s="18" t="n">
        <v>0</v>
      </c>
      <c r="Z84" s="18" t="n">
        <v>0</v>
      </c>
      <c r="AA84" s="18" t="n">
        <v>0</v>
      </c>
      <c r="AB84" s="18" t="n">
        <v>0</v>
      </c>
      <c r="AC84" s="18" t="n">
        <v>0</v>
      </c>
      <c r="AD84" s="18" t="n">
        <v>0</v>
      </c>
      <c r="AE84" s="18" t="n">
        <v>0</v>
      </c>
      <c r="AF84" s="18" t="n">
        <v>0</v>
      </c>
      <c r="AG84" s="18" t="n">
        <v>0</v>
      </c>
      <c r="AH84" s="18" t="n">
        <v>0</v>
      </c>
      <c r="AI84" s="18" t="n">
        <v>0</v>
      </c>
      <c r="AJ84" s="18" t="n">
        <v>0</v>
      </c>
      <c r="AK84" s="18" t="n">
        <v>0</v>
      </c>
      <c r="AL84" s="18" t="n">
        <v>0</v>
      </c>
      <c r="AM84" s="18" t="n">
        <v>0</v>
      </c>
      <c r="AN84" s="18" t="n">
        <v>0</v>
      </c>
      <c r="AO84" s="18" t="n">
        <v>0</v>
      </c>
      <c r="AP84" s="18" t="n">
        <v>0</v>
      </c>
      <c r="AQ84" s="18" t="n">
        <v>0</v>
      </c>
      <c r="AR84" s="18" t="n">
        <v>0</v>
      </c>
      <c r="AS84" s="18" t="n">
        <v>0</v>
      </c>
      <c r="AT84" s="18" t="n">
        <v>0</v>
      </c>
      <c r="AU84" s="18" t="n">
        <v>0</v>
      </c>
      <c r="AV84" s="18" t="n">
        <v>0</v>
      </c>
      <c r="AW84" s="18" t="n">
        <v>0</v>
      </c>
      <c r="AX84" s="18" t="n">
        <v>1000</v>
      </c>
      <c r="AY84" s="18" t="n">
        <v>0</v>
      </c>
      <c r="AZ84" s="18" t="n">
        <v>0</v>
      </c>
      <c r="BA84" s="18" t="n">
        <v>0</v>
      </c>
    </row>
    <row r="85">
      <c r="A85" s="3" t="inlineStr">
        <is>
          <t xml:space="preserve">  One-time: Capital deposit account</t>
        </is>
      </c>
      <c r="B85" s="18" t="n">
        <v>250</v>
      </c>
      <c r="C85" s="18" t="n">
        <v>0</v>
      </c>
      <c r="D85" s="18" t="n">
        <v>0</v>
      </c>
      <c r="E85" s="18" t="n">
        <v>0</v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0</v>
      </c>
      <c r="M85" s="18" t="n">
        <v>0</v>
      </c>
      <c r="N85" s="18" t="n">
        <v>0</v>
      </c>
      <c r="O85" s="18" t="n">
        <v>0</v>
      </c>
      <c r="P85" s="18" t="n">
        <v>0</v>
      </c>
      <c r="Q85" s="18" t="n">
        <v>0</v>
      </c>
      <c r="R85" s="18" t="n">
        <v>0</v>
      </c>
      <c r="S85" s="18" t="n">
        <v>0</v>
      </c>
      <c r="T85" s="18" t="n">
        <v>0</v>
      </c>
      <c r="U85" s="18" t="n">
        <v>0</v>
      </c>
      <c r="V85" s="18" t="n">
        <v>0</v>
      </c>
      <c r="W85" s="18" t="n">
        <v>0</v>
      </c>
      <c r="X85" s="18" t="n">
        <v>0</v>
      </c>
      <c r="Y85" s="18" t="n">
        <v>0</v>
      </c>
      <c r="Z85" s="18" t="n">
        <v>0</v>
      </c>
      <c r="AA85" s="18" t="n">
        <v>0</v>
      </c>
      <c r="AB85" s="18" t="n">
        <v>0</v>
      </c>
      <c r="AC85" s="18" t="n">
        <v>0</v>
      </c>
      <c r="AD85" s="18" t="n">
        <v>0</v>
      </c>
      <c r="AE85" s="18" t="n">
        <v>0</v>
      </c>
      <c r="AF85" s="18" t="n">
        <v>0</v>
      </c>
      <c r="AG85" s="18" t="n">
        <v>0</v>
      </c>
      <c r="AH85" s="18" t="n">
        <v>0</v>
      </c>
      <c r="AI85" s="18" t="n">
        <v>0</v>
      </c>
      <c r="AJ85" s="18" t="n">
        <v>0</v>
      </c>
      <c r="AK85" s="18" t="n">
        <v>0</v>
      </c>
      <c r="AL85" s="18" t="n">
        <v>0</v>
      </c>
      <c r="AM85" s="18" t="n">
        <v>0</v>
      </c>
      <c r="AN85" s="18" t="n">
        <v>0</v>
      </c>
      <c r="AO85" s="18" t="n">
        <v>0</v>
      </c>
      <c r="AP85" s="18" t="n">
        <v>0</v>
      </c>
      <c r="AQ85" s="18" t="n">
        <v>0</v>
      </c>
      <c r="AR85" s="18" t="n">
        <v>0</v>
      </c>
      <c r="AS85" s="18" t="n">
        <v>0</v>
      </c>
      <c r="AT85" s="18" t="n">
        <v>0</v>
      </c>
      <c r="AU85" s="18" t="n">
        <v>0</v>
      </c>
      <c r="AV85" s="18" t="n">
        <v>0</v>
      </c>
      <c r="AW85" s="18" t="n">
        <v>0</v>
      </c>
      <c r="AX85" s="18" t="n">
        <v>250</v>
      </c>
      <c r="AY85" s="18" t="n">
        <v>0</v>
      </c>
      <c r="AZ85" s="18" t="n">
        <v>0</v>
      </c>
      <c r="BA85" s="18" t="n">
        <v>0</v>
      </c>
    </row>
    <row r="86">
      <c r="A86" s="3" t="inlineStr">
        <is>
          <t xml:space="preserve">  One-time: Signature certifications</t>
        </is>
      </c>
      <c r="B86" s="18" t="n">
        <v>100</v>
      </c>
      <c r="C86" s="18" t="n">
        <v>0</v>
      </c>
      <c r="D86" s="18" t="n">
        <v>0</v>
      </c>
      <c r="E86" s="18" t="n">
        <v>0</v>
      </c>
      <c r="F86" s="18" t="n">
        <v>0</v>
      </c>
      <c r="G86" s="18" t="n">
        <v>0</v>
      </c>
      <c r="H86" s="18" t="n">
        <v>0</v>
      </c>
      <c r="I86" s="18" t="n">
        <v>0</v>
      </c>
      <c r="J86" s="18" t="n">
        <v>0</v>
      </c>
      <c r="K86" s="18" t="n">
        <v>0</v>
      </c>
      <c r="L86" s="18" t="n">
        <v>0</v>
      </c>
      <c r="M86" s="18" t="n">
        <v>0</v>
      </c>
      <c r="N86" s="18" t="n">
        <v>0</v>
      </c>
      <c r="O86" s="18" t="n">
        <v>0</v>
      </c>
      <c r="P86" s="18" t="n">
        <v>0</v>
      </c>
      <c r="Q86" s="18" t="n">
        <v>0</v>
      </c>
      <c r="R86" s="18" t="n">
        <v>0</v>
      </c>
      <c r="S86" s="18" t="n">
        <v>0</v>
      </c>
      <c r="T86" s="18" t="n">
        <v>0</v>
      </c>
      <c r="U86" s="18" t="n">
        <v>0</v>
      </c>
      <c r="V86" s="18" t="n">
        <v>0</v>
      </c>
      <c r="W86" s="18" t="n">
        <v>0</v>
      </c>
      <c r="X86" s="18" t="n">
        <v>0</v>
      </c>
      <c r="Y86" s="18" t="n">
        <v>0</v>
      </c>
      <c r="Z86" s="18" t="n">
        <v>0</v>
      </c>
      <c r="AA86" s="18" t="n">
        <v>0</v>
      </c>
      <c r="AB86" s="18" t="n">
        <v>0</v>
      </c>
      <c r="AC86" s="18" t="n">
        <v>0</v>
      </c>
      <c r="AD86" s="18" t="n">
        <v>0</v>
      </c>
      <c r="AE86" s="18" t="n">
        <v>0</v>
      </c>
      <c r="AF86" s="18" t="n">
        <v>0</v>
      </c>
      <c r="AG86" s="18" t="n">
        <v>0</v>
      </c>
      <c r="AH86" s="18" t="n">
        <v>0</v>
      </c>
      <c r="AI86" s="18" t="n">
        <v>0</v>
      </c>
      <c r="AJ86" s="18" t="n">
        <v>0</v>
      </c>
      <c r="AK86" s="18" t="n">
        <v>0</v>
      </c>
      <c r="AL86" s="18" t="n">
        <v>0</v>
      </c>
      <c r="AM86" s="18" t="n">
        <v>0</v>
      </c>
      <c r="AN86" s="18" t="n">
        <v>0</v>
      </c>
      <c r="AO86" s="18" t="n">
        <v>0</v>
      </c>
      <c r="AP86" s="18" t="n">
        <v>0</v>
      </c>
      <c r="AQ86" s="18" t="n">
        <v>0</v>
      </c>
      <c r="AR86" s="18" t="n">
        <v>0</v>
      </c>
      <c r="AS86" s="18" t="n">
        <v>0</v>
      </c>
      <c r="AT86" s="18" t="n">
        <v>0</v>
      </c>
      <c r="AU86" s="18" t="n">
        <v>0</v>
      </c>
      <c r="AV86" s="18" t="n">
        <v>0</v>
      </c>
      <c r="AW86" s="18" t="n">
        <v>0</v>
      </c>
      <c r="AX86" s="18" t="n">
        <v>100</v>
      </c>
      <c r="AY86" s="18" t="n">
        <v>0</v>
      </c>
      <c r="AZ86" s="18" t="n">
        <v>0</v>
      </c>
      <c r="BA86" s="18" t="n">
        <v>0</v>
      </c>
    </row>
    <row r="87">
      <c r="A87" s="3" t="inlineStr">
        <is>
          <t xml:space="preserve">  One-time: MacBook Pro 16" M5 Pro 64GB/2TB</t>
        </is>
      </c>
      <c r="B87" s="18" t="n">
        <v>3700</v>
      </c>
      <c r="C87" s="18" t="n">
        <v>0</v>
      </c>
      <c r="D87" s="18" t="n">
        <v>0</v>
      </c>
      <c r="E87" s="18" t="n">
        <v>0</v>
      </c>
      <c r="F87" s="18" t="n">
        <v>0</v>
      </c>
      <c r="G87" s="18" t="n">
        <v>0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  <c r="M87" s="18" t="n">
        <v>0</v>
      </c>
      <c r="N87" s="18" t="n">
        <v>0</v>
      </c>
      <c r="O87" s="18" t="n">
        <v>0</v>
      </c>
      <c r="P87" s="18" t="n">
        <v>0</v>
      </c>
      <c r="Q87" s="18" t="n">
        <v>0</v>
      </c>
      <c r="R87" s="18" t="n">
        <v>0</v>
      </c>
      <c r="S87" s="18" t="n">
        <v>0</v>
      </c>
      <c r="T87" s="18" t="n">
        <v>0</v>
      </c>
      <c r="U87" s="18" t="n">
        <v>0</v>
      </c>
      <c r="V87" s="18" t="n">
        <v>0</v>
      </c>
      <c r="W87" s="18" t="n">
        <v>0</v>
      </c>
      <c r="X87" s="18" t="n">
        <v>0</v>
      </c>
      <c r="Y87" s="18" t="n">
        <v>0</v>
      </c>
      <c r="Z87" s="18" t="n">
        <v>0</v>
      </c>
      <c r="AA87" s="18" t="n">
        <v>0</v>
      </c>
      <c r="AB87" s="18" t="n">
        <v>0</v>
      </c>
      <c r="AC87" s="18" t="n">
        <v>0</v>
      </c>
      <c r="AD87" s="18" t="n">
        <v>0</v>
      </c>
      <c r="AE87" s="18" t="n">
        <v>0</v>
      </c>
      <c r="AF87" s="18" t="n">
        <v>0</v>
      </c>
      <c r="AG87" s="18" t="n">
        <v>0</v>
      </c>
      <c r="AH87" s="18" t="n">
        <v>0</v>
      </c>
      <c r="AI87" s="18" t="n">
        <v>0</v>
      </c>
      <c r="AJ87" s="18" t="n">
        <v>0</v>
      </c>
      <c r="AK87" s="18" t="n">
        <v>0</v>
      </c>
      <c r="AL87" s="18" t="n">
        <v>0</v>
      </c>
      <c r="AM87" s="18" t="n">
        <v>0</v>
      </c>
      <c r="AN87" s="18" t="n">
        <v>0</v>
      </c>
      <c r="AO87" s="18" t="n">
        <v>0</v>
      </c>
      <c r="AP87" s="18" t="n">
        <v>0</v>
      </c>
      <c r="AQ87" s="18" t="n">
        <v>0</v>
      </c>
      <c r="AR87" s="18" t="n">
        <v>0</v>
      </c>
      <c r="AS87" s="18" t="n">
        <v>0</v>
      </c>
      <c r="AT87" s="18" t="n">
        <v>0</v>
      </c>
      <c r="AU87" s="18" t="n">
        <v>0</v>
      </c>
      <c r="AV87" s="18" t="n">
        <v>0</v>
      </c>
      <c r="AW87" s="18" t="n">
        <v>0</v>
      </c>
      <c r="AX87" s="18" t="n">
        <v>3700</v>
      </c>
      <c r="AY87" s="18" t="n">
        <v>0</v>
      </c>
      <c r="AZ87" s="18" t="n">
        <v>0</v>
      </c>
      <c r="BA87" s="18" t="n">
        <v>0</v>
      </c>
    </row>
    <row r="88">
      <c r="A88" s="3" t="inlineStr">
        <is>
          <t xml:space="preserve">  One-time: Apple Studio Display 2026</t>
        </is>
      </c>
      <c r="B88" s="18" t="n">
        <v>1290</v>
      </c>
      <c r="C88" s="18" t="n">
        <v>0</v>
      </c>
      <c r="D88" s="18" t="n">
        <v>0</v>
      </c>
      <c r="E88" s="18" t="n">
        <v>0</v>
      </c>
      <c r="F88" s="18" t="n">
        <v>0</v>
      </c>
      <c r="G88" s="18" t="n">
        <v>0</v>
      </c>
      <c r="H88" s="18" t="n">
        <v>0</v>
      </c>
      <c r="I88" s="18" t="n">
        <v>0</v>
      </c>
      <c r="J88" s="18" t="n">
        <v>0</v>
      </c>
      <c r="K88" s="18" t="n">
        <v>0</v>
      </c>
      <c r="L88" s="18" t="n">
        <v>0</v>
      </c>
      <c r="M88" s="18" t="n">
        <v>0</v>
      </c>
      <c r="N88" s="18" t="n">
        <v>0</v>
      </c>
      <c r="O88" s="18" t="n">
        <v>0</v>
      </c>
      <c r="P88" s="18" t="n">
        <v>0</v>
      </c>
      <c r="Q88" s="18" t="n">
        <v>0</v>
      </c>
      <c r="R88" s="18" t="n">
        <v>0</v>
      </c>
      <c r="S88" s="18" t="n">
        <v>0</v>
      </c>
      <c r="T88" s="18" t="n">
        <v>0</v>
      </c>
      <c r="U88" s="18" t="n">
        <v>0</v>
      </c>
      <c r="V88" s="18" t="n">
        <v>0</v>
      </c>
      <c r="W88" s="18" t="n">
        <v>0</v>
      </c>
      <c r="X88" s="18" t="n">
        <v>0</v>
      </c>
      <c r="Y88" s="18" t="n">
        <v>0</v>
      </c>
      <c r="Z88" s="18" t="n">
        <v>0</v>
      </c>
      <c r="AA88" s="18" t="n">
        <v>0</v>
      </c>
      <c r="AB88" s="18" t="n">
        <v>0</v>
      </c>
      <c r="AC88" s="18" t="n">
        <v>0</v>
      </c>
      <c r="AD88" s="18" t="n">
        <v>0</v>
      </c>
      <c r="AE88" s="18" t="n">
        <v>0</v>
      </c>
      <c r="AF88" s="18" t="n">
        <v>0</v>
      </c>
      <c r="AG88" s="18" t="n">
        <v>0</v>
      </c>
      <c r="AH88" s="18" t="n">
        <v>0</v>
      </c>
      <c r="AI88" s="18" t="n">
        <v>0</v>
      </c>
      <c r="AJ88" s="18" t="n">
        <v>0</v>
      </c>
      <c r="AK88" s="18" t="n">
        <v>0</v>
      </c>
      <c r="AL88" s="18" t="n">
        <v>0</v>
      </c>
      <c r="AM88" s="18" t="n">
        <v>0</v>
      </c>
      <c r="AN88" s="18" t="n">
        <v>0</v>
      </c>
      <c r="AO88" s="18" t="n">
        <v>0</v>
      </c>
      <c r="AP88" s="18" t="n">
        <v>0</v>
      </c>
      <c r="AQ88" s="18" t="n">
        <v>0</v>
      </c>
      <c r="AR88" s="18" t="n">
        <v>0</v>
      </c>
      <c r="AS88" s="18" t="n">
        <v>0</v>
      </c>
      <c r="AT88" s="18" t="n">
        <v>0</v>
      </c>
      <c r="AU88" s="18" t="n">
        <v>0</v>
      </c>
      <c r="AV88" s="18" t="n">
        <v>0</v>
      </c>
      <c r="AW88" s="18" t="n">
        <v>0</v>
      </c>
      <c r="AX88" s="18" t="n">
        <v>1290</v>
      </c>
      <c r="AY88" s="18" t="n">
        <v>0</v>
      </c>
      <c r="AZ88" s="18" t="n">
        <v>0</v>
      </c>
      <c r="BA88" s="18" t="n">
        <v>0</v>
      </c>
    </row>
    <row r="89">
      <c r="A89" s="3" t="inlineStr">
        <is>
          <t xml:space="preserve">  One-time: Logitech MX Keys S</t>
        </is>
      </c>
      <c r="B89" s="18" t="n">
        <v>83</v>
      </c>
      <c r="C89" s="18" t="n">
        <v>0</v>
      </c>
      <c r="D89" s="18" t="n">
        <v>0</v>
      </c>
      <c r="E89" s="18" t="n">
        <v>0</v>
      </c>
      <c r="F89" s="18" t="n">
        <v>0</v>
      </c>
      <c r="G89" s="18" t="n">
        <v>0</v>
      </c>
      <c r="H89" s="18" t="n">
        <v>0</v>
      </c>
      <c r="I89" s="18" t="n">
        <v>0</v>
      </c>
      <c r="J89" s="18" t="n">
        <v>0</v>
      </c>
      <c r="K89" s="18" t="n">
        <v>0</v>
      </c>
      <c r="L89" s="18" t="n">
        <v>0</v>
      </c>
      <c r="M89" s="18" t="n">
        <v>0</v>
      </c>
      <c r="N89" s="18" t="n">
        <v>0</v>
      </c>
      <c r="O89" s="18" t="n">
        <v>0</v>
      </c>
      <c r="P89" s="18" t="n">
        <v>0</v>
      </c>
      <c r="Q89" s="18" t="n">
        <v>0</v>
      </c>
      <c r="R89" s="18" t="n">
        <v>0</v>
      </c>
      <c r="S89" s="18" t="n">
        <v>0</v>
      </c>
      <c r="T89" s="18" t="n">
        <v>0</v>
      </c>
      <c r="U89" s="18" t="n">
        <v>0</v>
      </c>
      <c r="V89" s="18" t="n">
        <v>0</v>
      </c>
      <c r="W89" s="18" t="n">
        <v>0</v>
      </c>
      <c r="X89" s="18" t="n">
        <v>0</v>
      </c>
      <c r="Y89" s="18" t="n">
        <v>0</v>
      </c>
      <c r="Z89" s="18" t="n">
        <v>0</v>
      </c>
      <c r="AA89" s="18" t="n">
        <v>0</v>
      </c>
      <c r="AB89" s="18" t="n">
        <v>0</v>
      </c>
      <c r="AC89" s="18" t="n">
        <v>0</v>
      </c>
      <c r="AD89" s="18" t="n">
        <v>0</v>
      </c>
      <c r="AE89" s="18" t="n">
        <v>0</v>
      </c>
      <c r="AF89" s="18" t="n">
        <v>0</v>
      </c>
      <c r="AG89" s="18" t="n">
        <v>0</v>
      </c>
      <c r="AH89" s="18" t="n">
        <v>0</v>
      </c>
      <c r="AI89" s="18" t="n">
        <v>0</v>
      </c>
      <c r="AJ89" s="18" t="n">
        <v>0</v>
      </c>
      <c r="AK89" s="18" t="n">
        <v>0</v>
      </c>
      <c r="AL89" s="18" t="n">
        <v>0</v>
      </c>
      <c r="AM89" s="18" t="n">
        <v>0</v>
      </c>
      <c r="AN89" s="18" t="n">
        <v>0</v>
      </c>
      <c r="AO89" s="18" t="n">
        <v>0</v>
      </c>
      <c r="AP89" s="18" t="n">
        <v>0</v>
      </c>
      <c r="AQ89" s="18" t="n">
        <v>0</v>
      </c>
      <c r="AR89" s="18" t="n">
        <v>0</v>
      </c>
      <c r="AS89" s="18" t="n">
        <v>0</v>
      </c>
      <c r="AT89" s="18" t="n">
        <v>0</v>
      </c>
      <c r="AU89" s="18" t="n">
        <v>0</v>
      </c>
      <c r="AV89" s="18" t="n">
        <v>0</v>
      </c>
      <c r="AW89" s="18" t="n">
        <v>0</v>
      </c>
      <c r="AX89" s="18" t="n">
        <v>83</v>
      </c>
      <c r="AY89" s="18" t="n">
        <v>0</v>
      </c>
      <c r="AZ89" s="18" t="n">
        <v>0</v>
      </c>
      <c r="BA89" s="18" t="n">
        <v>0</v>
      </c>
    </row>
    <row r="90">
      <c r="A90" s="3" t="inlineStr">
        <is>
          <t xml:space="preserve">  One-time: Logitech MX Master 3S</t>
        </is>
      </c>
      <c r="B90" s="18" t="n">
        <v>69</v>
      </c>
      <c r="C90" s="18" t="n">
        <v>0</v>
      </c>
      <c r="D90" s="18" t="n">
        <v>0</v>
      </c>
      <c r="E90" s="18" t="n">
        <v>0</v>
      </c>
      <c r="F90" s="18" t="n">
        <v>0</v>
      </c>
      <c r="G90" s="18" t="n">
        <v>0</v>
      </c>
      <c r="H90" s="18" t="n">
        <v>0</v>
      </c>
      <c r="I90" s="18" t="n">
        <v>0</v>
      </c>
      <c r="J90" s="18" t="n">
        <v>0</v>
      </c>
      <c r="K90" s="18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18" t="n">
        <v>0</v>
      </c>
      <c r="Q90" s="18" t="n">
        <v>0</v>
      </c>
      <c r="R90" s="18" t="n">
        <v>0</v>
      </c>
      <c r="S90" s="18" t="n">
        <v>0</v>
      </c>
      <c r="T90" s="18" t="n">
        <v>0</v>
      </c>
      <c r="U90" s="18" t="n">
        <v>0</v>
      </c>
      <c r="V90" s="18" t="n">
        <v>0</v>
      </c>
      <c r="W90" s="18" t="n">
        <v>0</v>
      </c>
      <c r="X90" s="18" t="n">
        <v>0</v>
      </c>
      <c r="Y90" s="18" t="n">
        <v>0</v>
      </c>
      <c r="Z90" s="18" t="n">
        <v>0</v>
      </c>
      <c r="AA90" s="18" t="n">
        <v>0</v>
      </c>
      <c r="AB90" s="18" t="n">
        <v>0</v>
      </c>
      <c r="AC90" s="18" t="n">
        <v>0</v>
      </c>
      <c r="AD90" s="18" t="n">
        <v>0</v>
      </c>
      <c r="AE90" s="18" t="n">
        <v>0</v>
      </c>
      <c r="AF90" s="18" t="n">
        <v>0</v>
      </c>
      <c r="AG90" s="18" t="n">
        <v>0</v>
      </c>
      <c r="AH90" s="18" t="n">
        <v>0</v>
      </c>
      <c r="AI90" s="18" t="n">
        <v>0</v>
      </c>
      <c r="AJ90" s="18" t="n">
        <v>0</v>
      </c>
      <c r="AK90" s="18" t="n">
        <v>0</v>
      </c>
      <c r="AL90" s="18" t="n">
        <v>0</v>
      </c>
      <c r="AM90" s="18" t="n">
        <v>0</v>
      </c>
      <c r="AN90" s="18" t="n">
        <v>0</v>
      </c>
      <c r="AO90" s="18" t="n">
        <v>0</v>
      </c>
      <c r="AP90" s="18" t="n">
        <v>0</v>
      </c>
      <c r="AQ90" s="18" t="n">
        <v>0</v>
      </c>
      <c r="AR90" s="18" t="n">
        <v>0</v>
      </c>
      <c r="AS90" s="18" t="n">
        <v>0</v>
      </c>
      <c r="AT90" s="18" t="n">
        <v>0</v>
      </c>
      <c r="AU90" s="18" t="n">
        <v>0</v>
      </c>
      <c r="AV90" s="18" t="n">
        <v>0</v>
      </c>
      <c r="AW90" s="18" t="n">
        <v>0</v>
      </c>
      <c r="AX90" s="18" t="n">
        <v>69</v>
      </c>
      <c r="AY90" s="18" t="n">
        <v>0</v>
      </c>
      <c r="AZ90" s="18" t="n">
        <v>0</v>
      </c>
      <c r="BA90" s="18" t="n">
        <v>0</v>
      </c>
    </row>
    <row r="91">
      <c r="A91" s="3" t="inlineStr">
        <is>
          <t xml:space="preserve">  One-time: Ergotron LX monitor arm</t>
        </is>
      </c>
      <c r="B91" s="18" t="n">
        <v>165</v>
      </c>
      <c r="C91" s="18" t="n">
        <v>0</v>
      </c>
      <c r="D91" s="18" t="n">
        <v>0</v>
      </c>
      <c r="E91" s="18" t="n">
        <v>0</v>
      </c>
      <c r="F91" s="18" t="n">
        <v>0</v>
      </c>
      <c r="G91" s="18" t="n">
        <v>0</v>
      </c>
      <c r="H91" s="18" t="n">
        <v>0</v>
      </c>
      <c r="I91" s="18" t="n">
        <v>0</v>
      </c>
      <c r="J91" s="18" t="n">
        <v>0</v>
      </c>
      <c r="K91" s="18" t="n">
        <v>0</v>
      </c>
      <c r="L91" s="18" t="n">
        <v>0</v>
      </c>
      <c r="M91" s="18" t="n">
        <v>0</v>
      </c>
      <c r="N91" s="18" t="n">
        <v>0</v>
      </c>
      <c r="O91" s="18" t="n">
        <v>0</v>
      </c>
      <c r="P91" s="18" t="n">
        <v>0</v>
      </c>
      <c r="Q91" s="18" t="n">
        <v>0</v>
      </c>
      <c r="R91" s="18" t="n">
        <v>0</v>
      </c>
      <c r="S91" s="18" t="n">
        <v>0</v>
      </c>
      <c r="T91" s="18" t="n">
        <v>0</v>
      </c>
      <c r="U91" s="18" t="n">
        <v>0</v>
      </c>
      <c r="V91" s="18" t="n">
        <v>0</v>
      </c>
      <c r="W91" s="18" t="n">
        <v>0</v>
      </c>
      <c r="X91" s="18" t="n">
        <v>0</v>
      </c>
      <c r="Y91" s="18" t="n">
        <v>0</v>
      </c>
      <c r="Z91" s="18" t="n">
        <v>0</v>
      </c>
      <c r="AA91" s="18" t="n">
        <v>0</v>
      </c>
      <c r="AB91" s="18" t="n">
        <v>0</v>
      </c>
      <c r="AC91" s="18" t="n">
        <v>0</v>
      </c>
      <c r="AD91" s="18" t="n">
        <v>0</v>
      </c>
      <c r="AE91" s="18" t="n">
        <v>0</v>
      </c>
      <c r="AF91" s="18" t="n">
        <v>0</v>
      </c>
      <c r="AG91" s="18" t="n">
        <v>0</v>
      </c>
      <c r="AH91" s="18" t="n">
        <v>0</v>
      </c>
      <c r="AI91" s="18" t="n">
        <v>0</v>
      </c>
      <c r="AJ91" s="18" t="n">
        <v>0</v>
      </c>
      <c r="AK91" s="18" t="n">
        <v>0</v>
      </c>
      <c r="AL91" s="18" t="n">
        <v>0</v>
      </c>
      <c r="AM91" s="18" t="n">
        <v>0</v>
      </c>
      <c r="AN91" s="18" t="n">
        <v>0</v>
      </c>
      <c r="AO91" s="18" t="n">
        <v>0</v>
      </c>
      <c r="AP91" s="18" t="n">
        <v>0</v>
      </c>
      <c r="AQ91" s="18" t="n">
        <v>0</v>
      </c>
      <c r="AR91" s="18" t="n">
        <v>0</v>
      </c>
      <c r="AS91" s="18" t="n">
        <v>0</v>
      </c>
      <c r="AT91" s="18" t="n">
        <v>0</v>
      </c>
      <c r="AU91" s="18" t="n">
        <v>0</v>
      </c>
      <c r="AV91" s="18" t="n">
        <v>0</v>
      </c>
      <c r="AW91" s="18" t="n">
        <v>0</v>
      </c>
      <c r="AX91" s="18" t="n">
        <v>165</v>
      </c>
      <c r="AY91" s="18" t="n">
        <v>0</v>
      </c>
      <c r="AZ91" s="18" t="n">
        <v>0</v>
      </c>
      <c r="BA91" s="18" t="n">
        <v>0</v>
      </c>
    </row>
    <row r="92">
      <c r="A92" s="3" t="inlineStr">
        <is>
          <t xml:space="preserve">  One-time: Legal (SHA, PSOP, contracts)</t>
        </is>
      </c>
      <c r="B92" s="18" t="n">
        <v>4000</v>
      </c>
      <c r="C92" s="18" t="n">
        <v>0</v>
      </c>
      <c r="D92" s="18" t="n">
        <v>0</v>
      </c>
      <c r="E92" s="18" t="n">
        <v>0</v>
      </c>
      <c r="F92" s="18" t="n">
        <v>0</v>
      </c>
      <c r="G92" s="18" t="n">
        <v>0</v>
      </c>
      <c r="H92" s="18" t="n">
        <v>0</v>
      </c>
      <c r="I92" s="18" t="n">
        <v>0</v>
      </c>
      <c r="J92" s="18" t="n">
        <v>0</v>
      </c>
      <c r="K92" s="18" t="n">
        <v>0</v>
      </c>
      <c r="L92" s="18" t="n">
        <v>0</v>
      </c>
      <c r="M92" s="18" t="n">
        <v>0</v>
      </c>
      <c r="N92" s="18" t="n">
        <v>0</v>
      </c>
      <c r="O92" s="18" t="n">
        <v>0</v>
      </c>
      <c r="P92" s="18" t="n">
        <v>0</v>
      </c>
      <c r="Q92" s="18" t="n">
        <v>0</v>
      </c>
      <c r="R92" s="18" t="n">
        <v>0</v>
      </c>
      <c r="S92" s="18" t="n">
        <v>0</v>
      </c>
      <c r="T92" s="18" t="n">
        <v>0</v>
      </c>
      <c r="U92" s="18" t="n">
        <v>0</v>
      </c>
      <c r="V92" s="18" t="n">
        <v>0</v>
      </c>
      <c r="W92" s="18" t="n">
        <v>0</v>
      </c>
      <c r="X92" s="18" t="n">
        <v>0</v>
      </c>
      <c r="Y92" s="18" t="n">
        <v>0</v>
      </c>
      <c r="Z92" s="18" t="n">
        <v>0</v>
      </c>
      <c r="AA92" s="18" t="n">
        <v>0</v>
      </c>
      <c r="AB92" s="18" t="n">
        <v>0</v>
      </c>
      <c r="AC92" s="18" t="n">
        <v>0</v>
      </c>
      <c r="AD92" s="18" t="n">
        <v>0</v>
      </c>
      <c r="AE92" s="18" t="n">
        <v>0</v>
      </c>
      <c r="AF92" s="18" t="n">
        <v>0</v>
      </c>
      <c r="AG92" s="18" t="n">
        <v>0</v>
      </c>
      <c r="AH92" s="18" t="n">
        <v>0</v>
      </c>
      <c r="AI92" s="18" t="n">
        <v>0</v>
      </c>
      <c r="AJ92" s="18" t="n">
        <v>0</v>
      </c>
      <c r="AK92" s="18" t="n">
        <v>0</v>
      </c>
      <c r="AL92" s="18" t="n">
        <v>0</v>
      </c>
      <c r="AM92" s="18" t="n">
        <v>0</v>
      </c>
      <c r="AN92" s="18" t="n">
        <v>0</v>
      </c>
      <c r="AO92" s="18" t="n">
        <v>0</v>
      </c>
      <c r="AP92" s="18" t="n">
        <v>0</v>
      </c>
      <c r="AQ92" s="18" t="n">
        <v>0</v>
      </c>
      <c r="AR92" s="18" t="n">
        <v>0</v>
      </c>
      <c r="AS92" s="18" t="n">
        <v>0</v>
      </c>
      <c r="AT92" s="18" t="n">
        <v>0</v>
      </c>
      <c r="AU92" s="18" t="n">
        <v>0</v>
      </c>
      <c r="AV92" s="18" t="n">
        <v>0</v>
      </c>
      <c r="AW92" s="18" t="n">
        <v>0</v>
      </c>
      <c r="AX92" s="18" t="n">
        <v>4000</v>
      </c>
      <c r="AY92" s="18" t="n">
        <v>0</v>
      </c>
      <c r="AZ92" s="18" t="n">
        <v>0</v>
      </c>
      <c r="BA92" s="18" t="n">
        <v>0</v>
      </c>
    </row>
    <row r="93">
      <c r="A93" s="3" t="inlineStr">
        <is>
          <t xml:space="preserve">  One-time: Domain .ai (2yr reg)</t>
        </is>
      </c>
      <c r="B93" s="18" t="n">
        <v>128</v>
      </c>
      <c r="C93" s="18" t="n">
        <v>0</v>
      </c>
      <c r="D93" s="18" t="n">
        <v>0</v>
      </c>
      <c r="E93" s="18" t="n">
        <v>0</v>
      </c>
      <c r="F93" s="18" t="n">
        <v>0</v>
      </c>
      <c r="G93" s="18" t="n">
        <v>0</v>
      </c>
      <c r="H93" s="18" t="n">
        <v>0</v>
      </c>
      <c r="I93" s="18" t="n">
        <v>0</v>
      </c>
      <c r="J93" s="18" t="n">
        <v>0</v>
      </c>
      <c r="K93" s="18" t="n">
        <v>0</v>
      </c>
      <c r="L93" s="18" t="n">
        <v>0</v>
      </c>
      <c r="M93" s="18" t="n">
        <v>0</v>
      </c>
      <c r="N93" s="18" t="n">
        <v>0</v>
      </c>
      <c r="O93" s="18" t="n">
        <v>0</v>
      </c>
      <c r="P93" s="18" t="n">
        <v>0</v>
      </c>
      <c r="Q93" s="18" t="n">
        <v>0</v>
      </c>
      <c r="R93" s="18" t="n">
        <v>0</v>
      </c>
      <c r="S93" s="18" t="n">
        <v>0</v>
      </c>
      <c r="T93" s="18" t="n">
        <v>0</v>
      </c>
      <c r="U93" s="18" t="n">
        <v>0</v>
      </c>
      <c r="V93" s="18" t="n">
        <v>0</v>
      </c>
      <c r="W93" s="18" t="n">
        <v>0</v>
      </c>
      <c r="X93" s="18" t="n">
        <v>0</v>
      </c>
      <c r="Y93" s="18" t="n">
        <v>0</v>
      </c>
      <c r="Z93" s="18" t="n">
        <v>0</v>
      </c>
      <c r="AA93" s="18" t="n">
        <v>0</v>
      </c>
      <c r="AB93" s="18" t="n">
        <v>0</v>
      </c>
      <c r="AC93" s="18" t="n">
        <v>0</v>
      </c>
      <c r="AD93" s="18" t="n">
        <v>0</v>
      </c>
      <c r="AE93" s="18" t="n">
        <v>0</v>
      </c>
      <c r="AF93" s="18" t="n">
        <v>0</v>
      </c>
      <c r="AG93" s="18" t="n">
        <v>0</v>
      </c>
      <c r="AH93" s="18" t="n">
        <v>0</v>
      </c>
      <c r="AI93" s="18" t="n">
        <v>0</v>
      </c>
      <c r="AJ93" s="18" t="n">
        <v>0</v>
      </c>
      <c r="AK93" s="18" t="n">
        <v>0</v>
      </c>
      <c r="AL93" s="18" t="n">
        <v>0</v>
      </c>
      <c r="AM93" s="18" t="n">
        <v>0</v>
      </c>
      <c r="AN93" s="18" t="n">
        <v>0</v>
      </c>
      <c r="AO93" s="18" t="n">
        <v>0</v>
      </c>
      <c r="AP93" s="18" t="n">
        <v>0</v>
      </c>
      <c r="AQ93" s="18" t="n">
        <v>0</v>
      </c>
      <c r="AR93" s="18" t="n">
        <v>0</v>
      </c>
      <c r="AS93" s="18" t="n">
        <v>0</v>
      </c>
      <c r="AT93" s="18" t="n">
        <v>0</v>
      </c>
      <c r="AU93" s="18" t="n">
        <v>0</v>
      </c>
      <c r="AV93" s="18" t="n">
        <v>0</v>
      </c>
      <c r="AW93" s="18" t="n">
        <v>0</v>
      </c>
      <c r="AX93" s="18" t="n">
        <v>128</v>
      </c>
      <c r="AY93" s="18" t="n">
        <v>0</v>
      </c>
      <c r="AZ93" s="18" t="n">
        <v>0</v>
      </c>
      <c r="BA93" s="18" t="n">
        <v>0</v>
      </c>
    </row>
    <row r="94">
      <c r="A94" s="16" t="inlineStr">
        <is>
          <t>TOTAL COSTS</t>
        </is>
      </c>
      <c r="B94" s="19">
        <f>B32+B33+B34+B35+B36+B37+B38+B39+B40+B42+B43+B44+B45+B47+B48+B49+B50+B51+B52+B53+B54+B55+B56+B57+B58+B59+B61+B62+B63+B64+B65+B66+B68+B69+B71+B72+B74+B75+B77+B78+B79+B80+B81+B82+B83+B84+B85+B86+B87+B88+B89+B90+B91+B92+B93</f>
        <v/>
      </c>
      <c r="C94" s="19">
        <f>C32+C33+C34+C35+C36+C37+C38+C39+C40+C42+C43+C44+C45+C47+C48+C49+C50+C51+C52+C53+C54+C55+C56+C57+C58+C59+C61+C62+C63+C64+C65+C66+C68+C69+C71+C72+C74+C75+C77+C78+C79+C80+C81+C82+C83+C84+C85+C86+C87+C88+C89+C90+C91+C92+C93</f>
        <v/>
      </c>
      <c r="D94" s="19">
        <f>D32+D33+D34+D35+D36+D37+D38+D39+D40+D42+D43+D44+D45+D47+D48+D49+D50+D51+D52+D53+D54+D55+D56+D57+D58+D59+D61+D62+D63+D64+D65+D66+D68+D69+D71+D72+D74+D75+D77+D78+D79+D80+D81+D82+D83+D84+D85+D86+D87+D88+D89+D90+D91+D92+D93</f>
        <v/>
      </c>
      <c r="E94" s="19">
        <f>E32+E33+E34+E35+E36+E37+E38+E39+E40+E42+E43+E44+E45+E47+E48+E49+E50+E51+E52+E53+E54+E55+E56+E57+E58+E59+E61+E62+E63+E64+E65+E66+E68+E69+E71+E72+E74+E75+E77+E78+E79+E80+E81+E82+E83+E84+E85+E86+E87+E88+E89+E90+E91+E92+E93</f>
        <v/>
      </c>
      <c r="F94" s="19">
        <f>F32+F33+F34+F35+F36+F37+F38+F39+F40+F42+F43+F44+F45+F47+F48+F49+F50+F51+F52+F53+F54+F55+F56+F57+F58+F59+F61+F62+F63+F64+F65+F66+F68+F69+F71+F72+F74+F75+F77+F78+F79+F80+F81+F82+F83+F84+F85+F86+F87+F88+F89+F90+F91+F92+F93</f>
        <v/>
      </c>
      <c r="G94" s="19">
        <f>G32+G33+G34+G35+G36+G37+G38+G39+G40+G42+G43+G44+G45+G47+G48+G49+G50+G51+G52+G53+G54+G55+G56+G57+G58+G59+G61+G62+G63+G64+G65+G66+G68+G69+G71+G72+G74+G75+G77+G78+G79+G80+G81+G82+G83+G84+G85+G86+G87+G88+G89+G90+G91+G92+G93</f>
        <v/>
      </c>
      <c r="H94" s="19">
        <f>H32+H33+H34+H35+H36+H37+H38+H39+H40+H42+H43+H44+H45+H47+H48+H49+H50+H51+H52+H53+H54+H55+H56+H57+H58+H59+H61+H62+H63+H64+H65+H66+H68+H69+H71+H72+H74+H75+H77+H78+H79+H80+H81+H82+H83+H84+H85+H86+H87+H88+H89+H90+H91+H92+H93</f>
        <v/>
      </c>
      <c r="I94" s="19">
        <f>I32+I33+I34+I35+I36+I37+I38+I39+I40+I42+I43+I44+I45+I47+I48+I49+I50+I51+I52+I53+I54+I55+I56+I57+I58+I59+I61+I62+I63+I64+I65+I66+I68+I69+I71+I72+I74+I75+I77+I78+I79+I80+I81+I82+I83+I84+I85+I86+I87+I88+I89+I90+I91+I92+I93</f>
        <v/>
      </c>
      <c r="J94" s="19">
        <f>J32+J33+J34+J35+J36+J37+J38+J39+J40+J42+J43+J44+J45+J47+J48+J49+J50+J51+J52+J53+J54+J55+J56+J57+J58+J59+J61+J62+J63+J64+J65+J66+J68+J69+J71+J72+J74+J75+J77+J78+J79+J80+J81+J82+J83+J84+J85+J86+J87+J88+J89+J90+J91+J92+J93</f>
        <v/>
      </c>
      <c r="K94" s="19">
        <f>K32+K33+K34+K35+K36+K37+K38+K39+K40+K42+K43+K44+K45+K47+K48+K49+K50+K51+K52+K53+K54+K55+K56+K57+K58+K59+K61+K62+K63+K64+K65+K66+K68+K69+K71+K72+K74+K75+K77+K78+K79+K80+K81+K82+K83+K84+K85+K86+K87+K88+K89+K90+K91+K92+K93</f>
        <v/>
      </c>
      <c r="L94" s="19">
        <f>L32+L33+L34+L35+L36+L37+L38+L39+L40+L42+L43+L44+L45+L47+L48+L49+L50+L51+L52+L53+L54+L55+L56+L57+L58+L59+L61+L62+L63+L64+L65+L66+L68+L69+L71+L72+L74+L75+L77+L78+L79+L80+L81+L82+L83+L84+L85+L86+L87+L88+L89+L90+L91+L92+L93</f>
        <v/>
      </c>
      <c r="M94" s="19">
        <f>M32+M33+M34+M35+M36+M37+M38+M39+M40+M42+M43+M44+M45+M47+M48+M49+M50+M51+M52+M53+M54+M55+M56+M57+M58+M59+M61+M62+M63+M64+M65+M66+M68+M69+M71+M72+M74+M75+M77+M78+M79+M80+M81+M82+M83+M84+M85+M86+M87+M88+M89+M90+M91+M92+M93</f>
        <v/>
      </c>
      <c r="N94" s="19">
        <f>N32+N33+N34+N35+N36+N37+N38+N39+N40+N42+N43+N44+N45+N47+N48+N49+N50+N51+N52+N53+N54+N55+N56+N57+N58+N59+N61+N62+N63+N64+N65+N66+N68+N69+N71+N72+N74+N75+N77+N78+N79+N80+N81+N82+N83+N84+N85+N86+N87+N88+N89+N90+N91+N92+N93</f>
        <v/>
      </c>
      <c r="O94" s="19">
        <f>O32+O33+O34+O35+O36+O37+O38+O39+O40+O42+O43+O44+O45+O47+O48+O49+O50+O51+O52+O53+O54+O55+O56+O57+O58+O59+O61+O62+O63+O64+O65+O66+O68+O69+O71+O72+O74+O75+O77+O78+O79+O80+O81+O82+O83+O84+O85+O86+O87+O88+O89+O90+O91+O92+O93</f>
        <v/>
      </c>
      <c r="P94" s="19">
        <f>P32+P33+P34+P35+P36+P37+P38+P39+P40+P42+P43+P44+P45+P47+P48+P49+P50+P51+P52+P53+P54+P55+P56+P57+P58+P59+P61+P62+P63+P64+P65+P66+P68+P69+P71+P72+P74+P75+P77+P78+P79+P80+P81+P82+P83+P84+P85+P86+P87+P88+P89+P90+P91+P92+P93</f>
        <v/>
      </c>
      <c r="Q94" s="19">
        <f>Q32+Q33+Q34+Q35+Q36+Q37+Q38+Q39+Q40+Q42+Q43+Q44+Q45+Q47+Q48+Q49+Q50+Q51+Q52+Q53+Q54+Q55+Q56+Q57+Q58+Q59+Q61+Q62+Q63+Q64+Q65+Q66+Q68+Q69+Q71+Q72+Q74+Q75+Q77+Q78+Q79+Q80+Q81+Q82+Q83+Q84+Q85+Q86+Q87+Q88+Q89+Q90+Q91+Q92+Q93</f>
        <v/>
      </c>
      <c r="R94" s="19">
        <f>R32+R33+R34+R35+R36+R37+R38+R39+R40+R42+R43+R44+R45+R47+R48+R49+R50+R51+R52+R53+R54+R55+R56+R57+R58+R59+R61+R62+R63+R64+R65+R66+R68+R69+R71+R72+R74+R75+R77+R78+R79+R80+R81+R82+R83+R84+R85+R86+R87+R88+R89+R90+R91+R92+R93</f>
        <v/>
      </c>
      <c r="S94" s="19">
        <f>S32+S33+S34+S35+S36+S37+S38+S39+S40+S42+S43+S44+S45+S47+S48+S49+S50+S51+S52+S53+S54+S55+S56+S57+S58+S59+S61+S62+S63+S64+S65+S66+S68+S69+S71+S72+S74+S75+S77+S78+S79+S80+S81+S82+S83+S84+S85+S86+S87+S88+S89+S90+S91+S92+S93</f>
        <v/>
      </c>
      <c r="T94" s="19">
        <f>T32+T33+T34+T35+T36+T37+T38+T39+T40+T42+T43+T44+T45+T47+T48+T49+T50+T51+T52+T53+T54+T55+T56+T57+T58+T59+T61+T62+T63+T64+T65+T66+T68+T69+T71+T72+T74+T75+T77+T78+T79+T80+T81+T82+T83+T84+T85+T86+T87+T88+T89+T90+T91+T92+T93</f>
        <v/>
      </c>
      <c r="U94" s="19">
        <f>U32+U33+U34+U35+U36+U37+U38+U39+U40+U42+U43+U44+U45+U47+U48+U49+U50+U51+U52+U53+U54+U55+U56+U57+U58+U59+U61+U62+U63+U64+U65+U66+U68+U69+U71+U72+U74+U75+U77+U78+U79+U80+U81+U82+U83+U84+U85+U86+U87+U88+U89+U90+U91+U92+U93</f>
        <v/>
      </c>
      <c r="V94" s="19">
        <f>V32+V33+V34+V35+V36+V37+V38+V39+V40+V42+V43+V44+V45+V47+V48+V49+V50+V51+V52+V53+V54+V55+V56+V57+V58+V59+V61+V62+V63+V64+V65+V66+V68+V69+V71+V72+V74+V75+V77+V78+V79+V80+V81+V82+V83+V84+V85+V86+V87+V88+V89+V90+V91+V92+V93</f>
        <v/>
      </c>
      <c r="W94" s="19">
        <f>W32+W33+W34+W35+W36+W37+W38+W39+W40+W42+W43+W44+W45+W47+W48+W49+W50+W51+W52+W53+W54+W55+W56+W57+W58+W59+W61+W62+W63+W64+W65+W66+W68+W69+W71+W72+W74+W75+W77+W78+W79+W80+W81+W82+W83+W84+W85+W86+W87+W88+W89+W90+W91+W92+W93</f>
        <v/>
      </c>
      <c r="X94" s="19">
        <f>X32+X33+X34+X35+X36+X37+X38+X39+X40+X42+X43+X44+X45+X47+X48+X49+X50+X51+X52+X53+X54+X55+X56+X57+X58+X59+X61+X62+X63+X64+X65+X66+X68+X69+X71+X72+X74+X75+X77+X78+X79+X80+X81+X82+X83+X84+X85+X86+X87+X88+X89+X90+X91+X92+X93</f>
        <v/>
      </c>
      <c r="Y94" s="19">
        <f>Y32+Y33+Y34+Y35+Y36+Y37+Y38+Y39+Y40+Y42+Y43+Y44+Y45+Y47+Y48+Y49+Y50+Y51+Y52+Y53+Y54+Y55+Y56+Y57+Y58+Y59+Y61+Y62+Y63+Y64+Y65+Y66+Y68+Y69+Y71+Y72+Y74+Y75+Y77+Y78+Y79+Y80+Y81+Y82+Y83+Y84+Y85+Y86+Y87+Y88+Y89+Y90+Y91+Y92+Y93</f>
        <v/>
      </c>
      <c r="Z94" s="19">
        <f>Z32+Z33+Z34+Z35+Z36+Z37+Z38+Z39+Z40+Z42+Z43+Z44+Z45+Z47+Z48+Z49+Z50+Z51+Z52+Z53+Z54+Z55+Z56+Z57+Z58+Z59+Z61+Z62+Z63+Z64+Z65+Z66+Z68+Z69+Z71+Z72+Z74+Z75+Z77+Z78+Z79+Z80+Z81+Z82+Z83+Z84+Z85+Z86+Z87+Z88+Z89+Z90+Z91+Z92+Z93</f>
        <v/>
      </c>
      <c r="AA94" s="19">
        <f>AA32+AA33+AA34+AA35+AA36+AA37+AA38+AA39+AA40+AA42+AA43+AA44+AA45+AA47+AA48+AA49+AA50+AA51+AA52+AA53+AA54+AA55+AA56+AA57+AA58+AA59+AA61+AA62+AA63+AA64+AA65+AA66+AA68+AA69+AA71+AA72+AA74+AA75+AA77+AA78+AA79+AA80+AA81+AA82+AA83+AA84+AA85+AA86+AA87+AA88+AA89+AA90+AA91+AA92+AA93</f>
        <v/>
      </c>
      <c r="AB94" s="19">
        <f>AB32+AB33+AB34+AB35+AB36+AB37+AB38+AB39+AB40+AB42+AB43+AB44+AB45+AB47+AB48+AB49+AB50+AB51+AB52+AB53+AB54+AB55+AB56+AB57+AB58+AB59+AB61+AB62+AB63+AB64+AB65+AB66+AB68+AB69+AB71+AB72+AB74+AB75+AB77+AB78+AB79+AB80+AB81+AB82+AB83+AB84+AB85+AB86+AB87+AB88+AB89+AB90+AB91+AB92+AB93</f>
        <v/>
      </c>
      <c r="AC94" s="19">
        <f>AC32+AC33+AC34+AC35+AC36+AC37+AC38+AC39+AC40+AC42+AC43+AC44+AC45+AC47+AC48+AC49+AC50+AC51+AC52+AC53+AC54+AC55+AC56+AC57+AC58+AC59+AC61+AC62+AC63+AC64+AC65+AC66+AC68+AC69+AC71+AC72+AC74+AC75+AC77+AC78+AC79+AC80+AC81+AC82+AC83+AC84+AC85+AC86+AC87+AC88+AC89+AC90+AC91+AC92+AC93</f>
        <v/>
      </c>
      <c r="AD94" s="19">
        <f>AD32+AD33+AD34+AD35+AD36+AD37+AD38+AD39+AD40+AD42+AD43+AD44+AD45+AD47+AD48+AD49+AD50+AD51+AD52+AD53+AD54+AD55+AD56+AD57+AD58+AD59+AD61+AD62+AD63+AD64+AD65+AD66+AD68+AD69+AD71+AD72+AD74+AD75+AD77+AD78+AD79+AD80+AD81+AD82+AD83+AD84+AD85+AD86+AD87+AD88+AD89+AD90+AD91+AD92+AD93</f>
        <v/>
      </c>
      <c r="AE94" s="19">
        <f>AE32+AE33+AE34+AE35+AE36+AE37+AE38+AE39+AE40+AE42+AE43+AE44+AE45+AE47+AE48+AE49+AE50+AE51+AE52+AE53+AE54+AE55+AE56+AE57+AE58+AE59+AE61+AE62+AE63+AE64+AE65+AE66+AE68+AE69+AE71+AE72+AE74+AE75+AE77+AE78+AE79+AE80+AE81+AE82+AE83+AE84+AE85+AE86+AE87+AE88+AE89+AE90+AE91+AE92+AE93</f>
        <v/>
      </c>
      <c r="AF94" s="19">
        <f>AF32+AF33+AF34+AF35+AF36+AF37+AF38+AF39+AF40+AF42+AF43+AF44+AF45+AF47+AF48+AF49+AF50+AF51+AF52+AF53+AF54+AF55+AF56+AF57+AF58+AF59+AF61+AF62+AF63+AF64+AF65+AF66+AF68+AF69+AF71+AF72+AF74+AF75+AF77+AF78+AF79+AF80+AF81+AF82+AF83+AF84+AF85+AF86+AF87+AF88+AF89+AF90+AF91+AF92+AF93</f>
        <v/>
      </c>
      <c r="AG94" s="19">
        <f>AG32+AG33+AG34+AG35+AG36+AG37+AG38+AG39+AG40+AG42+AG43+AG44+AG45+AG47+AG48+AG49+AG50+AG51+AG52+AG53+AG54+AG55+AG56+AG57+AG58+AG59+AG61+AG62+AG63+AG64+AG65+AG66+AG68+AG69+AG71+AG72+AG74+AG75+AG77+AG78+AG79+AG80+AG81+AG82+AG83+AG84+AG85+AG86+AG87+AG88+AG89+AG90+AG91+AG92+AG93</f>
        <v/>
      </c>
      <c r="AH94" s="19">
        <f>AH32+AH33+AH34+AH35+AH36+AH37+AH38+AH39+AH40+AH42+AH43+AH44+AH45+AH47+AH48+AH49+AH50+AH51+AH52+AH53+AH54+AH55+AH56+AH57+AH58+AH59+AH61+AH62+AH63+AH64+AH65+AH66+AH68+AH69+AH71+AH72+AH74+AH75+AH77+AH78+AH79+AH80+AH81+AH82+AH83+AH84+AH85+AH86+AH87+AH88+AH89+AH90+AH91+AH92+AH93</f>
        <v/>
      </c>
      <c r="AI94" s="19">
        <f>AI32+AI33+AI34+AI35+AI36+AI37+AI38+AI39+AI40+AI42+AI43+AI44+AI45+AI47+AI48+AI49+AI50+AI51+AI52+AI53+AI54+AI55+AI56+AI57+AI58+AI59+AI61+AI62+AI63+AI64+AI65+AI66+AI68+AI69+AI71+AI72+AI74+AI75+AI77+AI78+AI79+AI80+AI81+AI82+AI83+AI84+AI85+AI86+AI87+AI88+AI89+AI90+AI91+AI92+AI93</f>
        <v/>
      </c>
      <c r="AJ94" s="19">
        <f>AJ32+AJ33+AJ34+AJ35+AJ36+AJ37+AJ38+AJ39+AJ40+AJ42+AJ43+AJ44+AJ45+AJ47+AJ48+AJ49+AJ50+AJ51+AJ52+AJ53+AJ54+AJ55+AJ56+AJ57+AJ58+AJ59+AJ61+AJ62+AJ63+AJ64+AJ65+AJ66+AJ68+AJ69+AJ71+AJ72+AJ74+AJ75+AJ77+AJ78+AJ79+AJ80+AJ81+AJ82+AJ83+AJ84+AJ85+AJ86+AJ87+AJ88+AJ89+AJ90+AJ91+AJ92+AJ93</f>
        <v/>
      </c>
      <c r="AK94" s="19">
        <f>AK32+AK33+AK34+AK35+AK36+AK37+AK38+AK39+AK40+AK42+AK43+AK44+AK45+AK47+AK48+AK49+AK50+AK51+AK52+AK53+AK54+AK55+AK56+AK57+AK58+AK59+AK61+AK62+AK63+AK64+AK65+AK66+AK68+AK69+AK71+AK72+AK74+AK75+AK77+AK78+AK79+AK80+AK81+AK82+AK83+AK84+AK85+AK86+AK87+AK88+AK89+AK90+AK91+AK92+AK93</f>
        <v/>
      </c>
      <c r="AL94" s="19">
        <f>AL32+AL33+AL34+AL35+AL36+AL37+AL38+AL39+AL40+AL42+AL43+AL44+AL45+AL47+AL48+AL49+AL50+AL51+AL52+AL53+AL54+AL55+AL56+AL57+AL58+AL59+AL61+AL62+AL63+AL64+AL65+AL66+AL68+AL69+AL71+AL72+AL74+AL75+AL77+AL78+AL79+AL80+AL81+AL82+AL83+AL84+AL85+AL86+AL87+AL88+AL89+AL90+AL91+AL92+AL93</f>
        <v/>
      </c>
      <c r="AM94" s="19">
        <f>AM32+AM33+AM34+AM35+AM36+AM37+AM38+AM39+AM40+AM42+AM43+AM44+AM45+AM47+AM48+AM49+AM50+AM51+AM52+AM53+AM54+AM55+AM56+AM57+AM58+AM59+AM61+AM62+AM63+AM64+AM65+AM66+AM68+AM69+AM71+AM72+AM74+AM75+AM77+AM78+AM79+AM80+AM81+AM82+AM83+AM84+AM85+AM86+AM87+AM88+AM89+AM90+AM91+AM92+AM93</f>
        <v/>
      </c>
      <c r="AN94" s="19">
        <f>AN32+AN33+AN34+AN35+AN36+AN37+AN38+AN39+AN40+AN42+AN43+AN44+AN45+AN47+AN48+AN49+AN50+AN51+AN52+AN53+AN54+AN55+AN56+AN57+AN58+AN59+AN61+AN62+AN63+AN64+AN65+AN66+AN68+AN69+AN71+AN72+AN74+AN75+AN77+AN78+AN79+AN80+AN81+AN82+AN83+AN84+AN85+AN86+AN87+AN88+AN89+AN90+AN91+AN92+AN93</f>
        <v/>
      </c>
      <c r="AO94" s="19">
        <f>AO32+AO33+AO34+AO35+AO36+AO37+AO38+AO39+AO40+AO42+AO43+AO44+AO45+AO47+AO48+AO49+AO50+AO51+AO52+AO53+AO54+AO55+AO56+AO57+AO58+AO59+AO61+AO62+AO63+AO64+AO65+AO66+AO68+AO69+AO71+AO72+AO74+AO75+AO77+AO78+AO79+AO80+AO81+AO82+AO83+AO84+AO85+AO86+AO87+AO88+AO89+AO90+AO91+AO92+AO93</f>
        <v/>
      </c>
      <c r="AP94" s="19">
        <f>AP32+AP33+AP34+AP35+AP36+AP37+AP38+AP39+AP40+AP42+AP43+AP44+AP45+AP47+AP48+AP49+AP50+AP51+AP52+AP53+AP54+AP55+AP56+AP57+AP58+AP59+AP61+AP62+AP63+AP64+AP65+AP66+AP68+AP69+AP71+AP72+AP74+AP75+AP77+AP78+AP79+AP80+AP81+AP82+AP83+AP84+AP85+AP86+AP87+AP88+AP89+AP90+AP91+AP92+AP93</f>
        <v/>
      </c>
      <c r="AQ94" s="19">
        <f>AQ32+AQ33+AQ34+AQ35+AQ36+AQ37+AQ38+AQ39+AQ40+AQ42+AQ43+AQ44+AQ45+AQ47+AQ48+AQ49+AQ50+AQ51+AQ52+AQ53+AQ54+AQ55+AQ56+AQ57+AQ58+AQ59+AQ61+AQ62+AQ63+AQ64+AQ65+AQ66+AQ68+AQ69+AQ71+AQ72+AQ74+AQ75+AQ77+AQ78+AQ79+AQ80+AQ81+AQ82+AQ83+AQ84+AQ85+AQ86+AQ87+AQ88+AQ89+AQ90+AQ91+AQ92+AQ93</f>
        <v/>
      </c>
      <c r="AR94" s="19">
        <f>AR32+AR33+AR34+AR35+AR36+AR37+AR38+AR39+AR40+AR42+AR43+AR44+AR45+AR47+AR48+AR49+AR50+AR51+AR52+AR53+AR54+AR55+AR56+AR57+AR58+AR59+AR61+AR62+AR63+AR64+AR65+AR66+AR68+AR69+AR71+AR72+AR74+AR75+AR77+AR78+AR79+AR80+AR81+AR82+AR83+AR84+AR85+AR86+AR87+AR88+AR89+AR90+AR91+AR92+AR93</f>
        <v/>
      </c>
      <c r="AS94" s="19">
        <f>AS32+AS33+AS34+AS35+AS36+AS37+AS38+AS39+AS40+AS42+AS43+AS44+AS45+AS47+AS48+AS49+AS50+AS51+AS52+AS53+AS54+AS55+AS56+AS57+AS58+AS59+AS61+AS62+AS63+AS64+AS65+AS66+AS68+AS69+AS71+AS72+AS74+AS75+AS77+AS78+AS79+AS80+AS81+AS82+AS83+AS84+AS85+AS86+AS87+AS88+AS89+AS90+AS91+AS92+AS93</f>
        <v/>
      </c>
      <c r="AT94" s="19">
        <f>AT32+AT33+AT34+AT35+AT36+AT37+AT38+AT39+AT40+AT42+AT43+AT44+AT45+AT47+AT48+AT49+AT50+AT51+AT52+AT53+AT54+AT55+AT56+AT57+AT58+AT59+AT61+AT62+AT63+AT64+AT65+AT66+AT68+AT69+AT71+AT72+AT74+AT75+AT77+AT78+AT79+AT80+AT81+AT82+AT83+AT84+AT85+AT86+AT87+AT88+AT89+AT90+AT91+AT92+AT93</f>
        <v/>
      </c>
      <c r="AU94" s="19">
        <f>AU32+AU33+AU34+AU35+AU36+AU37+AU38+AU39+AU40+AU42+AU43+AU44+AU45+AU47+AU48+AU49+AU50+AU51+AU52+AU53+AU54+AU55+AU56+AU57+AU58+AU59+AU61+AU62+AU63+AU64+AU65+AU66+AU68+AU69+AU71+AU72+AU74+AU75+AU77+AU78+AU79+AU80+AU81+AU82+AU83+AU84+AU85+AU86+AU87+AU88+AU89+AU90+AU91+AU92+AU93</f>
        <v/>
      </c>
      <c r="AV94" s="19">
        <f>AV32+AV33+AV34+AV35+AV36+AV37+AV38+AV39+AV40+AV42+AV43+AV44+AV45+AV47+AV48+AV49+AV50+AV51+AV52+AV53+AV54+AV55+AV56+AV57+AV58+AV59+AV61+AV62+AV63+AV64+AV65+AV66+AV68+AV69+AV71+AV72+AV74+AV75+AV77+AV78+AV79+AV80+AV81+AV82+AV83+AV84+AV85+AV86+AV87+AV88+AV89+AV90+AV91+AV92+AV93</f>
        <v/>
      </c>
      <c r="AW94" s="19">
        <f>AW32+AW33+AW34+AW35+AW36+AW37+AW38+AW39+AW40+AW42+AW43+AW44+AW45+AW47+AW48+AW49+AW50+AW51+AW52+AW53+AW54+AW55+AW56+AW57+AW58+AW59+AW61+AW62+AW63+AW64+AW65+AW66+AW68+AW69+AW71+AW72+AW74+AW75+AW77+AW78+AW79+AW80+AW81+AW82+AW83+AW84+AW85+AW86+AW87+AW88+AW89+AW90+AW91+AW92+AW93</f>
        <v/>
      </c>
      <c r="AX94" s="20">
        <f>AX32+AX33+AX34+AX35+AX36+AX37+AX38+AX39+AX40+AX42+AX43+AX44+AX45+AX47+AX48+AX49+AX50+AX51+AX52+AX53+AX54+AX55+AX56+AX57+AX58+AX59+AX61+AX62+AX63+AX64+AX65+AX66+AX68+AX69+AX71+AX72+AX74+AX75+AX77+AX78+AX79+AX80+AX81+AX82+AX83+AX84+AX85+AX86+AX87+AX88+AX89+AX90+AX91+AX92+AX93</f>
        <v/>
      </c>
      <c r="AY94" s="20">
        <f>AY32+AY33+AY34+AY35+AY36+AY37+AY38+AY39+AY40+AY42+AY43+AY44+AY45+AY47+AY48+AY49+AY50+AY51+AY52+AY53+AY54+AY55+AY56+AY57+AY58+AY59+AY61+AY62+AY63+AY64+AY65+AY66+AY68+AY69+AY71+AY72+AY74+AY75+AY77+AY78+AY79+AY80+AY81+AY82+AY83+AY84+AY85+AY86+AY87+AY88+AY89+AY90+AY91+AY92+AY93</f>
        <v/>
      </c>
      <c r="AZ94" s="20">
        <f>AZ32+AZ33+AZ34+AZ35+AZ36+AZ37+AZ38+AZ39+AZ40+AZ42+AZ43+AZ44+AZ45+AZ47+AZ48+AZ49+AZ50+AZ51+AZ52+AZ53+AZ54+AZ55+AZ56+AZ57+AZ58+AZ59+AZ61+AZ62+AZ63+AZ64+AZ65+AZ66+AZ68+AZ69+AZ71+AZ72+AZ74+AZ75+AZ77+AZ78+AZ79+AZ80+AZ81+AZ82+AZ83+AZ84+AZ85+AZ86+AZ87+AZ88+AZ89+AZ90+AZ91+AZ92+AZ93</f>
        <v/>
      </c>
      <c r="BA94" s="20">
        <f>BA32+BA33+BA34+BA35+BA36+BA37+BA38+BA39+BA40+BA42+BA43+BA44+BA45+BA47+BA48+BA49+BA50+BA51+BA52+BA53+BA54+BA55+BA56+BA57+BA58+BA59+BA61+BA62+BA63+BA64+BA65+BA66+BA68+BA69+BA71+BA72+BA74+BA75+BA77+BA78+BA79+BA80+BA81+BA82+BA83+BA84+BA85+BA86+BA87+BA88+BA89+BA90+BA91+BA92+BA93</f>
        <v/>
      </c>
    </row>
    <row r="96">
      <c r="A96" s="2" t="inlineStr">
        <is>
          <t>PROFITABILITY</t>
        </is>
      </c>
    </row>
    <row r="97">
      <c r="A97" s="16" t="inlineStr">
        <is>
          <t>EBITDA</t>
        </is>
      </c>
      <c r="B97" s="19">
        <f>B26-B94</f>
        <v/>
      </c>
      <c r="C97" s="19">
        <f>C26-C94</f>
        <v/>
      </c>
      <c r="D97" s="19">
        <f>D26-D94</f>
        <v/>
      </c>
      <c r="E97" s="19">
        <f>E26-E94</f>
        <v/>
      </c>
      <c r="F97" s="19">
        <f>F26-F94</f>
        <v/>
      </c>
      <c r="G97" s="19">
        <f>G26-G94</f>
        <v/>
      </c>
      <c r="H97" s="19">
        <f>H26-H94</f>
        <v/>
      </c>
      <c r="I97" s="19">
        <f>I26-I94</f>
        <v/>
      </c>
      <c r="J97" s="19">
        <f>J26-J94</f>
        <v/>
      </c>
      <c r="K97" s="19">
        <f>K26-K94</f>
        <v/>
      </c>
      <c r="L97" s="19">
        <f>L26-L94</f>
        <v/>
      </c>
      <c r="M97" s="19">
        <f>M26-M94</f>
        <v/>
      </c>
      <c r="N97" s="19">
        <f>N26-N94</f>
        <v/>
      </c>
      <c r="O97" s="19">
        <f>O26-O94</f>
        <v/>
      </c>
      <c r="P97" s="19">
        <f>P26-P94</f>
        <v/>
      </c>
      <c r="Q97" s="19">
        <f>Q26-Q94</f>
        <v/>
      </c>
      <c r="R97" s="19">
        <f>R26-R94</f>
        <v/>
      </c>
      <c r="S97" s="19">
        <f>S26-S94</f>
        <v/>
      </c>
      <c r="T97" s="19">
        <f>T26-T94</f>
        <v/>
      </c>
      <c r="U97" s="19">
        <f>U26-U94</f>
        <v/>
      </c>
      <c r="V97" s="19">
        <f>V26-V94</f>
        <v/>
      </c>
      <c r="W97" s="19">
        <f>W26-W94</f>
        <v/>
      </c>
      <c r="X97" s="19">
        <f>X26-X94</f>
        <v/>
      </c>
      <c r="Y97" s="19">
        <f>Y26-Y94</f>
        <v/>
      </c>
      <c r="Z97" s="19">
        <f>Z26-Z94</f>
        <v/>
      </c>
      <c r="AA97" s="19">
        <f>AA26-AA94</f>
        <v/>
      </c>
      <c r="AB97" s="19">
        <f>AB26-AB94</f>
        <v/>
      </c>
      <c r="AC97" s="19">
        <f>AC26-AC94</f>
        <v/>
      </c>
      <c r="AD97" s="19">
        <f>AD26-AD94</f>
        <v/>
      </c>
      <c r="AE97" s="19">
        <f>AE26-AE94</f>
        <v/>
      </c>
      <c r="AF97" s="19">
        <f>AF26-AF94</f>
        <v/>
      </c>
      <c r="AG97" s="19">
        <f>AG26-AG94</f>
        <v/>
      </c>
      <c r="AH97" s="19">
        <f>AH26-AH94</f>
        <v/>
      </c>
      <c r="AI97" s="19">
        <f>AI26-AI94</f>
        <v/>
      </c>
      <c r="AJ97" s="19">
        <f>AJ26-AJ94</f>
        <v/>
      </c>
      <c r="AK97" s="19">
        <f>AK26-AK94</f>
        <v/>
      </c>
      <c r="AL97" s="19">
        <f>AL26-AL94</f>
        <v/>
      </c>
      <c r="AM97" s="19">
        <f>AM26-AM94</f>
        <v/>
      </c>
      <c r="AN97" s="19">
        <f>AN26-AN94</f>
        <v/>
      </c>
      <c r="AO97" s="19">
        <f>AO26-AO94</f>
        <v/>
      </c>
      <c r="AP97" s="19">
        <f>AP26-AP94</f>
        <v/>
      </c>
      <c r="AQ97" s="19">
        <f>AQ26-AQ94</f>
        <v/>
      </c>
      <c r="AR97" s="19">
        <f>AR26-AR94</f>
        <v/>
      </c>
      <c r="AS97" s="19">
        <f>AS26-AS94</f>
        <v/>
      </c>
      <c r="AT97" s="19">
        <f>AT26-AT94</f>
        <v/>
      </c>
      <c r="AU97" s="19">
        <f>AU26-AU94</f>
        <v/>
      </c>
      <c r="AV97" s="19">
        <f>AV26-AV94</f>
        <v/>
      </c>
      <c r="AW97" s="19">
        <f>AW26-AW94</f>
        <v/>
      </c>
      <c r="AX97" s="20">
        <f>AX26-AX94</f>
        <v/>
      </c>
      <c r="AY97" s="20">
        <f>AY26-AY94</f>
        <v/>
      </c>
      <c r="AZ97" s="20">
        <f>AZ26-AZ94</f>
        <v/>
      </c>
      <c r="BA97" s="20">
        <f>BA26-BA94</f>
        <v/>
      </c>
    </row>
    <row r="98">
      <c r="A98" s="3" t="inlineStr">
        <is>
          <t>EBITDA margin</t>
        </is>
      </c>
      <c r="B98" s="22">
        <f>IF(B26=0,0,B97/B26)</f>
        <v/>
      </c>
      <c r="C98" s="22">
        <f>IF(C26=0,0,C97/C26)</f>
        <v/>
      </c>
      <c r="D98" s="22">
        <f>IF(D26=0,0,D97/D26)</f>
        <v/>
      </c>
      <c r="E98" s="22">
        <f>IF(E26=0,0,E97/E26)</f>
        <v/>
      </c>
      <c r="F98" s="22">
        <f>IF(F26=0,0,F97/F26)</f>
        <v/>
      </c>
      <c r="G98" s="22">
        <f>IF(G26=0,0,G97/G26)</f>
        <v/>
      </c>
      <c r="H98" s="22">
        <f>IF(H26=0,0,H97/H26)</f>
        <v/>
      </c>
      <c r="I98" s="22">
        <f>IF(I26=0,0,I97/I26)</f>
        <v/>
      </c>
      <c r="J98" s="22">
        <f>IF(J26=0,0,J97/J26)</f>
        <v/>
      </c>
      <c r="K98" s="22">
        <f>IF(K26=0,0,K97/K26)</f>
        <v/>
      </c>
      <c r="L98" s="22">
        <f>IF(L26=0,0,L97/L26)</f>
        <v/>
      </c>
      <c r="M98" s="22">
        <f>IF(M26=0,0,M97/M26)</f>
        <v/>
      </c>
      <c r="N98" s="22">
        <f>IF(N26=0,0,N97/N26)</f>
        <v/>
      </c>
      <c r="O98" s="22">
        <f>IF(O26=0,0,O97/O26)</f>
        <v/>
      </c>
      <c r="P98" s="22">
        <f>IF(P26=0,0,P97/P26)</f>
        <v/>
      </c>
      <c r="Q98" s="22">
        <f>IF(Q26=0,0,Q97/Q26)</f>
        <v/>
      </c>
      <c r="R98" s="22">
        <f>IF(R26=0,0,R97/R26)</f>
        <v/>
      </c>
      <c r="S98" s="22">
        <f>IF(S26=0,0,S97/S26)</f>
        <v/>
      </c>
      <c r="T98" s="22">
        <f>IF(T26=0,0,T97/T26)</f>
        <v/>
      </c>
      <c r="U98" s="22">
        <f>IF(U26=0,0,U97/U26)</f>
        <v/>
      </c>
      <c r="V98" s="22">
        <f>IF(V26=0,0,V97/V26)</f>
        <v/>
      </c>
      <c r="W98" s="22">
        <f>IF(W26=0,0,W97/W26)</f>
        <v/>
      </c>
      <c r="X98" s="22">
        <f>IF(X26=0,0,X97/X26)</f>
        <v/>
      </c>
      <c r="Y98" s="22">
        <f>IF(Y26=0,0,Y97/Y26)</f>
        <v/>
      </c>
      <c r="Z98" s="22">
        <f>IF(Z26=0,0,Z97/Z26)</f>
        <v/>
      </c>
      <c r="AA98" s="22">
        <f>IF(AA26=0,0,AA97/AA26)</f>
        <v/>
      </c>
      <c r="AB98" s="22">
        <f>IF(AB26=0,0,AB97/AB26)</f>
        <v/>
      </c>
      <c r="AC98" s="22">
        <f>IF(AC26=0,0,AC97/AC26)</f>
        <v/>
      </c>
      <c r="AD98" s="22">
        <f>IF(AD26=0,0,AD97/AD26)</f>
        <v/>
      </c>
      <c r="AE98" s="22">
        <f>IF(AE26=0,0,AE97/AE26)</f>
        <v/>
      </c>
      <c r="AF98" s="22">
        <f>IF(AF26=0,0,AF97/AF26)</f>
        <v/>
      </c>
      <c r="AG98" s="22">
        <f>IF(AG26=0,0,AG97/AG26)</f>
        <v/>
      </c>
      <c r="AH98" s="22">
        <f>IF(AH26=0,0,AH97/AH26)</f>
        <v/>
      </c>
      <c r="AI98" s="22">
        <f>IF(AI26=0,0,AI97/AI26)</f>
        <v/>
      </c>
      <c r="AJ98" s="22">
        <f>IF(AJ26=0,0,AJ97/AJ26)</f>
        <v/>
      </c>
      <c r="AK98" s="22">
        <f>IF(AK26=0,0,AK97/AK26)</f>
        <v/>
      </c>
      <c r="AL98" s="22">
        <f>IF(AL26=0,0,AL97/AL26)</f>
        <v/>
      </c>
      <c r="AM98" s="22">
        <f>IF(AM26=0,0,AM97/AM26)</f>
        <v/>
      </c>
      <c r="AN98" s="22">
        <f>IF(AN26=0,0,AN97/AN26)</f>
        <v/>
      </c>
      <c r="AO98" s="22">
        <f>IF(AO26=0,0,AO97/AO26)</f>
        <v/>
      </c>
      <c r="AP98" s="22">
        <f>IF(AP26=0,0,AP97/AP26)</f>
        <v/>
      </c>
      <c r="AQ98" s="22">
        <f>IF(AQ26=0,0,AQ97/AQ26)</f>
        <v/>
      </c>
      <c r="AR98" s="22">
        <f>IF(AR26=0,0,AR97/AR26)</f>
        <v/>
      </c>
      <c r="AS98" s="22">
        <f>IF(AS26=0,0,AS97/AS26)</f>
        <v/>
      </c>
      <c r="AT98" s="22">
        <f>IF(AT26=0,0,AT97/AT26)</f>
        <v/>
      </c>
      <c r="AU98" s="22">
        <f>IF(AU26=0,0,AU97/AU26)</f>
        <v/>
      </c>
      <c r="AV98" s="22">
        <f>IF(AV26=0,0,AV97/AV26)</f>
        <v/>
      </c>
      <c r="AW98" s="22">
        <f>IF(AW26=0,0,AW97/AW26)</f>
        <v/>
      </c>
    </row>
    <row r="99">
      <c r="A99" s="9" t="inlineStr">
        <is>
          <t>Cumulative EBITDA</t>
        </is>
      </c>
      <c r="B99" s="20">
        <f>B97</f>
        <v/>
      </c>
      <c r="C99" s="20">
        <f>B99+C97</f>
        <v/>
      </c>
      <c r="D99" s="20">
        <f>C99+D97</f>
        <v/>
      </c>
      <c r="E99" s="20">
        <f>D99+E97</f>
        <v/>
      </c>
      <c r="F99" s="20">
        <f>E99+F97</f>
        <v/>
      </c>
      <c r="G99" s="20">
        <f>F99+G97</f>
        <v/>
      </c>
      <c r="H99" s="20">
        <f>G99+H97</f>
        <v/>
      </c>
      <c r="I99" s="20">
        <f>H99+I97</f>
        <v/>
      </c>
      <c r="J99" s="20">
        <f>I99+J97</f>
        <v/>
      </c>
      <c r="K99" s="20">
        <f>J99+K97</f>
        <v/>
      </c>
      <c r="L99" s="20">
        <f>K99+L97</f>
        <v/>
      </c>
      <c r="M99" s="20">
        <f>L99+M97</f>
        <v/>
      </c>
      <c r="N99" s="20">
        <f>M99+N97</f>
        <v/>
      </c>
      <c r="O99" s="20">
        <f>N99+O97</f>
        <v/>
      </c>
      <c r="P99" s="20">
        <f>O99+P97</f>
        <v/>
      </c>
      <c r="Q99" s="20">
        <f>P99+Q97</f>
        <v/>
      </c>
      <c r="R99" s="20">
        <f>Q99+R97</f>
        <v/>
      </c>
      <c r="S99" s="20">
        <f>R99+S97</f>
        <v/>
      </c>
      <c r="T99" s="20">
        <f>S99+T97</f>
        <v/>
      </c>
      <c r="U99" s="20">
        <f>T99+U97</f>
        <v/>
      </c>
      <c r="V99" s="20">
        <f>U99+V97</f>
        <v/>
      </c>
      <c r="W99" s="20">
        <f>V99+W97</f>
        <v/>
      </c>
      <c r="X99" s="20">
        <f>W99+X97</f>
        <v/>
      </c>
      <c r="Y99" s="20">
        <f>X99+Y97</f>
        <v/>
      </c>
      <c r="Z99" s="20">
        <f>Y99+Z97</f>
        <v/>
      </c>
      <c r="AA99" s="20">
        <f>Z99+AA97</f>
        <v/>
      </c>
      <c r="AB99" s="20">
        <f>AA99+AB97</f>
        <v/>
      </c>
      <c r="AC99" s="20">
        <f>AB99+AC97</f>
        <v/>
      </c>
      <c r="AD99" s="20">
        <f>AC99+AD97</f>
        <v/>
      </c>
      <c r="AE99" s="20">
        <f>AD99+AE97</f>
        <v/>
      </c>
      <c r="AF99" s="20">
        <f>AE99+AF97</f>
        <v/>
      </c>
      <c r="AG99" s="20">
        <f>AF99+AG97</f>
        <v/>
      </c>
      <c r="AH99" s="20">
        <f>AG99+AH97</f>
        <v/>
      </c>
      <c r="AI99" s="20">
        <f>AH99+AI97</f>
        <v/>
      </c>
      <c r="AJ99" s="20">
        <f>AI99+AJ97</f>
        <v/>
      </c>
      <c r="AK99" s="20">
        <f>AJ99+AK97</f>
        <v/>
      </c>
      <c r="AL99" s="20">
        <f>AK99+AL97</f>
        <v/>
      </c>
      <c r="AM99" s="20">
        <f>AL99+AM97</f>
        <v/>
      </c>
      <c r="AN99" s="20">
        <f>AM99+AN97</f>
        <v/>
      </c>
      <c r="AO99" s="20">
        <f>AN99+AO97</f>
        <v/>
      </c>
      <c r="AP99" s="20">
        <f>AO99+AP97</f>
        <v/>
      </c>
      <c r="AQ99" s="20">
        <f>AP99+AQ97</f>
        <v/>
      </c>
      <c r="AR99" s="20">
        <f>AQ99+AR97</f>
        <v/>
      </c>
      <c r="AS99" s="20">
        <f>AR99+AS97</f>
        <v/>
      </c>
      <c r="AT99" s="20">
        <f>AS99+AT97</f>
        <v/>
      </c>
      <c r="AU99" s="20">
        <f>AT99+AU97</f>
        <v/>
      </c>
      <c r="AV99" s="20">
        <f>AU99+AV97</f>
        <v/>
      </c>
      <c r="AW99" s="20">
        <f>AV99+AW97</f>
        <v/>
      </c>
      <c r="AX99" s="20">
        <f>M99</f>
        <v/>
      </c>
      <c r="AY99" s="20">
        <f>Y99</f>
        <v/>
      </c>
      <c r="AZ99" s="20">
        <f>AK99</f>
        <v/>
      </c>
      <c r="BA99" s="20">
        <f>AW99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96E"/>
    <outlinePr summaryBelow="1" summaryRight="1"/>
    <pageSetUpPr/>
  </sheetPr>
  <dimension ref="A1:BA8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6" customWidth="1" min="50" max="50"/>
    <col width="16" customWidth="1" min="51" max="51"/>
    <col width="16" customWidth="1" min="52" max="52"/>
    <col width="16" customWidth="1" min="53" max="53"/>
  </cols>
  <sheetData>
    <row r="1">
      <c r="A1" s="1" t="inlineStr">
        <is>
          <t>LUMINA — CASH FLOW (CHF) — ZUG/BAAR</t>
        </is>
      </c>
    </row>
    <row r="3">
      <c r="B3" s="10" t="inlineStr">
        <is>
          <t>Y1</t>
        </is>
      </c>
      <c r="C3" s="10" t="inlineStr">
        <is>
          <t>Y1</t>
        </is>
      </c>
      <c r="D3" s="10" t="inlineStr">
        <is>
          <t>Y1</t>
        </is>
      </c>
      <c r="E3" s="10" t="inlineStr">
        <is>
          <t>Y1</t>
        </is>
      </c>
      <c r="F3" s="10" t="inlineStr">
        <is>
          <t>Y1</t>
        </is>
      </c>
      <c r="G3" s="10" t="inlineStr">
        <is>
          <t>Y1</t>
        </is>
      </c>
      <c r="H3" s="10" t="inlineStr">
        <is>
          <t>Y1</t>
        </is>
      </c>
      <c r="I3" s="10" t="inlineStr">
        <is>
          <t>Y1</t>
        </is>
      </c>
      <c r="J3" s="10" t="inlineStr">
        <is>
          <t>Y1</t>
        </is>
      </c>
      <c r="K3" s="10" t="inlineStr">
        <is>
          <t>Y1</t>
        </is>
      </c>
      <c r="L3" s="10" t="inlineStr">
        <is>
          <t>Y1</t>
        </is>
      </c>
      <c r="M3" s="10" t="inlineStr">
        <is>
          <t>Y1</t>
        </is>
      </c>
      <c r="N3" s="10" t="inlineStr">
        <is>
          <t>Y2</t>
        </is>
      </c>
      <c r="O3" s="10" t="inlineStr">
        <is>
          <t>Y2</t>
        </is>
      </c>
      <c r="P3" s="10" t="inlineStr">
        <is>
          <t>Y2</t>
        </is>
      </c>
      <c r="Q3" s="10" t="inlineStr">
        <is>
          <t>Y2</t>
        </is>
      </c>
      <c r="R3" s="10" t="inlineStr">
        <is>
          <t>Y2</t>
        </is>
      </c>
      <c r="S3" s="10" t="inlineStr">
        <is>
          <t>Y2</t>
        </is>
      </c>
      <c r="T3" s="10" t="inlineStr">
        <is>
          <t>Y2</t>
        </is>
      </c>
      <c r="U3" s="10" t="inlineStr">
        <is>
          <t>Y2</t>
        </is>
      </c>
      <c r="V3" s="10" t="inlineStr">
        <is>
          <t>Y2</t>
        </is>
      </c>
      <c r="W3" s="10" t="inlineStr">
        <is>
          <t>Y2</t>
        </is>
      </c>
      <c r="X3" s="10" t="inlineStr">
        <is>
          <t>Y2</t>
        </is>
      </c>
      <c r="Y3" s="10" t="inlineStr">
        <is>
          <t>Y2</t>
        </is>
      </c>
      <c r="Z3" s="10" t="inlineStr">
        <is>
          <t>Y3</t>
        </is>
      </c>
      <c r="AA3" s="10" t="inlineStr">
        <is>
          <t>Y3</t>
        </is>
      </c>
      <c r="AB3" s="10" t="inlineStr">
        <is>
          <t>Y3</t>
        </is>
      </c>
      <c r="AC3" s="10" t="inlineStr">
        <is>
          <t>Y3</t>
        </is>
      </c>
      <c r="AD3" s="10" t="inlineStr">
        <is>
          <t>Y3</t>
        </is>
      </c>
      <c r="AE3" s="10" t="inlineStr">
        <is>
          <t>Y3</t>
        </is>
      </c>
      <c r="AF3" s="10" t="inlineStr">
        <is>
          <t>Y3</t>
        </is>
      </c>
      <c r="AG3" s="10" t="inlineStr">
        <is>
          <t>Y3</t>
        </is>
      </c>
      <c r="AH3" s="10" t="inlineStr">
        <is>
          <t>Y3</t>
        </is>
      </c>
      <c r="AI3" s="10" t="inlineStr">
        <is>
          <t>Y3</t>
        </is>
      </c>
      <c r="AJ3" s="10" t="inlineStr">
        <is>
          <t>Y3</t>
        </is>
      </c>
      <c r="AK3" s="10" t="inlineStr">
        <is>
          <t>Y3</t>
        </is>
      </c>
      <c r="AL3" s="10" t="inlineStr">
        <is>
          <t>Y4</t>
        </is>
      </c>
      <c r="AM3" s="10" t="inlineStr">
        <is>
          <t>Y4</t>
        </is>
      </c>
      <c r="AN3" s="10" t="inlineStr">
        <is>
          <t>Y4</t>
        </is>
      </c>
      <c r="AO3" s="10" t="inlineStr">
        <is>
          <t>Y4</t>
        </is>
      </c>
      <c r="AP3" s="10" t="inlineStr">
        <is>
          <t>Y4</t>
        </is>
      </c>
      <c r="AQ3" s="10" t="inlineStr">
        <is>
          <t>Y4</t>
        </is>
      </c>
      <c r="AR3" s="10" t="inlineStr">
        <is>
          <t>Y4</t>
        </is>
      </c>
      <c r="AS3" s="10" t="inlineStr">
        <is>
          <t>Y4</t>
        </is>
      </c>
      <c r="AT3" s="10" t="inlineStr">
        <is>
          <t>Y4</t>
        </is>
      </c>
      <c r="AU3" s="10" t="inlineStr">
        <is>
          <t>Y4</t>
        </is>
      </c>
      <c r="AV3" s="10" t="inlineStr">
        <is>
          <t>Y4</t>
        </is>
      </c>
      <c r="AW3" s="10" t="inlineStr">
        <is>
          <t>Y4</t>
        </is>
      </c>
      <c r="AX3" s="7" t="inlineStr">
        <is>
          <t>Y1</t>
        </is>
      </c>
      <c r="AY3" s="7" t="inlineStr">
        <is>
          <t>Y2</t>
        </is>
      </c>
      <c r="AZ3" s="7" t="inlineStr">
        <is>
          <t>Y3</t>
        </is>
      </c>
      <c r="BA3" s="7" t="inlineStr">
        <is>
          <t>Y4</t>
        </is>
      </c>
    </row>
    <row r="4">
      <c r="A4" s="11" t="inlineStr">
        <is>
          <t>Month</t>
        </is>
      </c>
      <c r="B4" s="7" t="inlineStr">
        <is>
          <t>M1</t>
        </is>
      </c>
      <c r="C4" s="7" t="inlineStr">
        <is>
          <t>M2</t>
        </is>
      </c>
      <c r="D4" s="7" t="inlineStr">
        <is>
          <t>M3</t>
        </is>
      </c>
      <c r="E4" s="7" t="inlineStr">
        <is>
          <t>M4</t>
        </is>
      </c>
      <c r="F4" s="7" t="inlineStr">
        <is>
          <t>M5</t>
        </is>
      </c>
      <c r="G4" s="7" t="inlineStr">
        <is>
          <t>M6</t>
        </is>
      </c>
      <c r="H4" s="7" t="inlineStr">
        <is>
          <t>M7</t>
        </is>
      </c>
      <c r="I4" s="7" t="inlineStr">
        <is>
          <t>M8</t>
        </is>
      </c>
      <c r="J4" s="7" t="inlineStr">
        <is>
          <t>M9</t>
        </is>
      </c>
      <c r="K4" s="7" t="inlineStr">
        <is>
          <t>M10</t>
        </is>
      </c>
      <c r="L4" s="7" t="inlineStr">
        <is>
          <t>M11</t>
        </is>
      </c>
      <c r="M4" s="7" t="inlineStr">
        <is>
          <t>M12</t>
        </is>
      </c>
      <c r="N4" s="7" t="inlineStr">
        <is>
          <t>M13</t>
        </is>
      </c>
      <c r="O4" s="7" t="inlineStr">
        <is>
          <t>M14</t>
        </is>
      </c>
      <c r="P4" s="7" t="inlineStr">
        <is>
          <t>M15</t>
        </is>
      </c>
      <c r="Q4" s="7" t="inlineStr">
        <is>
          <t>M16</t>
        </is>
      </c>
      <c r="R4" s="7" t="inlineStr">
        <is>
          <t>M17</t>
        </is>
      </c>
      <c r="S4" s="7" t="inlineStr">
        <is>
          <t>M18</t>
        </is>
      </c>
      <c r="T4" s="7" t="inlineStr">
        <is>
          <t>M19</t>
        </is>
      </c>
      <c r="U4" s="7" t="inlineStr">
        <is>
          <t>M20</t>
        </is>
      </c>
      <c r="V4" s="7" t="inlineStr">
        <is>
          <t>M21</t>
        </is>
      </c>
      <c r="W4" s="7" t="inlineStr">
        <is>
          <t>M22</t>
        </is>
      </c>
      <c r="X4" s="7" t="inlineStr">
        <is>
          <t>M23</t>
        </is>
      </c>
      <c r="Y4" s="7" t="inlineStr">
        <is>
          <t>M24</t>
        </is>
      </c>
      <c r="Z4" s="7" t="inlineStr">
        <is>
          <t>M25</t>
        </is>
      </c>
      <c r="AA4" s="7" t="inlineStr">
        <is>
          <t>M26</t>
        </is>
      </c>
      <c r="AB4" s="7" t="inlineStr">
        <is>
          <t>M27</t>
        </is>
      </c>
      <c r="AC4" s="7" t="inlineStr">
        <is>
          <t>M28</t>
        </is>
      </c>
      <c r="AD4" s="7" t="inlineStr">
        <is>
          <t>M29</t>
        </is>
      </c>
      <c r="AE4" s="7" t="inlineStr">
        <is>
          <t>M30</t>
        </is>
      </c>
      <c r="AF4" s="7" t="inlineStr">
        <is>
          <t>M31</t>
        </is>
      </c>
      <c r="AG4" s="7" t="inlineStr">
        <is>
          <t>M32</t>
        </is>
      </c>
      <c r="AH4" s="7" t="inlineStr">
        <is>
          <t>M33</t>
        </is>
      </c>
      <c r="AI4" s="7" t="inlineStr">
        <is>
          <t>M34</t>
        </is>
      </c>
      <c r="AJ4" s="7" t="inlineStr">
        <is>
          <t>M35</t>
        </is>
      </c>
      <c r="AK4" s="7" t="inlineStr">
        <is>
          <t>M36</t>
        </is>
      </c>
      <c r="AL4" s="7" t="inlineStr">
        <is>
          <t>M37</t>
        </is>
      </c>
      <c r="AM4" s="7" t="inlineStr">
        <is>
          <t>M38</t>
        </is>
      </c>
      <c r="AN4" s="7" t="inlineStr">
        <is>
          <t>M39</t>
        </is>
      </c>
      <c r="AO4" s="7" t="inlineStr">
        <is>
          <t>M40</t>
        </is>
      </c>
      <c r="AP4" s="7" t="inlineStr">
        <is>
          <t>M41</t>
        </is>
      </c>
      <c r="AQ4" s="7" t="inlineStr">
        <is>
          <t>M42</t>
        </is>
      </c>
      <c r="AR4" s="7" t="inlineStr">
        <is>
          <t>M43</t>
        </is>
      </c>
      <c r="AS4" s="7" t="inlineStr">
        <is>
          <t>M44</t>
        </is>
      </c>
      <c r="AT4" s="7" t="inlineStr">
        <is>
          <t>M45</t>
        </is>
      </c>
      <c r="AU4" s="7" t="inlineStr">
        <is>
          <t>M46</t>
        </is>
      </c>
      <c r="AV4" s="7" t="inlineStr">
        <is>
          <t>M47</t>
        </is>
      </c>
      <c r="AW4" s="7" t="inlineStr">
        <is>
          <t>M48</t>
        </is>
      </c>
    </row>
    <row r="5">
      <c r="A5" s="2" t="inlineStr">
        <is>
          <t>CASH INFLOWS</t>
        </is>
      </c>
    </row>
    <row r="6">
      <c r="A6" s="3" t="inlineStr">
        <is>
          <t xml:space="preserve">  Initial capital (CHF 200K)</t>
        </is>
      </c>
      <c r="B6" s="18" t="n">
        <v>200000</v>
      </c>
      <c r="C6" s="18" t="n">
        <v>0</v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n">
        <v>0</v>
      </c>
      <c r="W6" s="18" t="n">
        <v>0</v>
      </c>
      <c r="X6" s="18" t="n">
        <v>0</v>
      </c>
      <c r="Y6" s="18" t="n">
        <v>0</v>
      </c>
      <c r="Z6" s="18" t="n">
        <v>0</v>
      </c>
      <c r="AA6" s="18" t="n">
        <v>0</v>
      </c>
      <c r="AB6" s="18" t="n">
        <v>0</v>
      </c>
      <c r="AC6" s="18" t="n">
        <v>0</v>
      </c>
      <c r="AD6" s="18" t="n">
        <v>0</v>
      </c>
      <c r="AE6" s="18" t="n">
        <v>0</v>
      </c>
      <c r="AF6" s="18" t="n">
        <v>0</v>
      </c>
      <c r="AG6" s="18" t="n">
        <v>0</v>
      </c>
      <c r="AH6" s="18" t="n">
        <v>0</v>
      </c>
      <c r="AI6" s="18" t="n">
        <v>0</v>
      </c>
      <c r="AJ6" s="18" t="n">
        <v>0</v>
      </c>
      <c r="AK6" s="18" t="n">
        <v>0</v>
      </c>
      <c r="AL6" s="18" t="n">
        <v>0</v>
      </c>
      <c r="AM6" s="18" t="n">
        <v>0</v>
      </c>
      <c r="AN6" s="18" t="n">
        <v>0</v>
      </c>
      <c r="AO6" s="18" t="n">
        <v>0</v>
      </c>
      <c r="AP6" s="18" t="n">
        <v>0</v>
      </c>
      <c r="AQ6" s="18" t="n">
        <v>0</v>
      </c>
      <c r="AR6" s="18" t="n">
        <v>0</v>
      </c>
      <c r="AS6" s="18" t="n">
        <v>0</v>
      </c>
      <c r="AT6" s="18" t="n">
        <v>0</v>
      </c>
      <c r="AU6" s="18" t="n">
        <v>0</v>
      </c>
      <c r="AV6" s="18" t="n">
        <v>0</v>
      </c>
      <c r="AW6" s="18" t="n">
        <v>0</v>
      </c>
      <c r="AX6" s="18" t="n">
        <v>200000</v>
      </c>
      <c r="AY6" s="18" t="n">
        <v>0</v>
      </c>
      <c r="AZ6" s="18" t="n">
        <v>0</v>
      </c>
      <c r="BA6" s="18" t="n">
        <v>0</v>
      </c>
    </row>
    <row r="7">
      <c r="A7" s="3" t="inlineStr">
        <is>
          <t xml:space="preserve">  Revenue</t>
        </is>
      </c>
      <c r="B7" s="18">
        <f>'Monthly P&amp;L'!B26</f>
        <v/>
      </c>
      <c r="C7" s="18">
        <f>'Monthly P&amp;L'!C26</f>
        <v/>
      </c>
      <c r="D7" s="18">
        <f>'Monthly P&amp;L'!D26</f>
        <v/>
      </c>
      <c r="E7" s="18">
        <f>'Monthly P&amp;L'!E26</f>
        <v/>
      </c>
      <c r="F7" s="18">
        <f>'Monthly P&amp;L'!F26</f>
        <v/>
      </c>
      <c r="G7" s="18">
        <f>'Monthly P&amp;L'!G26</f>
        <v/>
      </c>
      <c r="H7" s="18">
        <f>'Monthly P&amp;L'!H26</f>
        <v/>
      </c>
      <c r="I7" s="18">
        <f>'Monthly P&amp;L'!I26</f>
        <v/>
      </c>
      <c r="J7" s="18">
        <f>'Monthly P&amp;L'!J26</f>
        <v/>
      </c>
      <c r="K7" s="18">
        <f>'Monthly P&amp;L'!K26</f>
        <v/>
      </c>
      <c r="L7" s="18">
        <f>'Monthly P&amp;L'!L26</f>
        <v/>
      </c>
      <c r="M7" s="18">
        <f>'Monthly P&amp;L'!M26</f>
        <v/>
      </c>
      <c r="N7" s="18">
        <f>'Monthly P&amp;L'!N26</f>
        <v/>
      </c>
      <c r="O7" s="18">
        <f>'Monthly P&amp;L'!O26</f>
        <v/>
      </c>
      <c r="P7" s="18">
        <f>'Monthly P&amp;L'!P26</f>
        <v/>
      </c>
      <c r="Q7" s="18">
        <f>'Monthly P&amp;L'!Q26</f>
        <v/>
      </c>
      <c r="R7" s="18">
        <f>'Monthly P&amp;L'!R26</f>
        <v/>
      </c>
      <c r="S7" s="18">
        <f>'Monthly P&amp;L'!S26</f>
        <v/>
      </c>
      <c r="T7" s="18">
        <f>'Monthly P&amp;L'!T26</f>
        <v/>
      </c>
      <c r="U7" s="18">
        <f>'Monthly P&amp;L'!U26</f>
        <v/>
      </c>
      <c r="V7" s="18">
        <f>'Monthly P&amp;L'!V26</f>
        <v/>
      </c>
      <c r="W7" s="18">
        <f>'Monthly P&amp;L'!W26</f>
        <v/>
      </c>
      <c r="X7" s="18">
        <f>'Monthly P&amp;L'!X26</f>
        <v/>
      </c>
      <c r="Y7" s="18">
        <f>'Monthly P&amp;L'!Y26</f>
        <v/>
      </c>
      <c r="Z7" s="18">
        <f>'Monthly P&amp;L'!Z26</f>
        <v/>
      </c>
      <c r="AA7" s="18">
        <f>'Monthly P&amp;L'!AA26</f>
        <v/>
      </c>
      <c r="AB7" s="18">
        <f>'Monthly P&amp;L'!AB26</f>
        <v/>
      </c>
      <c r="AC7" s="18">
        <f>'Monthly P&amp;L'!AC26</f>
        <v/>
      </c>
      <c r="AD7" s="18">
        <f>'Monthly P&amp;L'!AD26</f>
        <v/>
      </c>
      <c r="AE7" s="18">
        <f>'Monthly P&amp;L'!AE26</f>
        <v/>
      </c>
      <c r="AF7" s="18">
        <f>'Monthly P&amp;L'!AF26</f>
        <v/>
      </c>
      <c r="AG7" s="18">
        <f>'Monthly P&amp;L'!AG26</f>
        <v/>
      </c>
      <c r="AH7" s="18">
        <f>'Monthly P&amp;L'!AH26</f>
        <v/>
      </c>
      <c r="AI7" s="18">
        <f>'Monthly P&amp;L'!AI26</f>
        <v/>
      </c>
      <c r="AJ7" s="18">
        <f>'Monthly P&amp;L'!AJ26</f>
        <v/>
      </c>
      <c r="AK7" s="18">
        <f>'Monthly P&amp;L'!AK26</f>
        <v/>
      </c>
      <c r="AL7" s="18">
        <f>'Monthly P&amp;L'!AL26</f>
        <v/>
      </c>
      <c r="AM7" s="18">
        <f>'Monthly P&amp;L'!AM26</f>
        <v/>
      </c>
      <c r="AN7" s="18">
        <f>'Monthly P&amp;L'!AN26</f>
        <v/>
      </c>
      <c r="AO7" s="18">
        <f>'Monthly P&amp;L'!AO26</f>
        <v/>
      </c>
      <c r="AP7" s="18">
        <f>'Monthly P&amp;L'!AP26</f>
        <v/>
      </c>
      <c r="AQ7" s="18">
        <f>'Monthly P&amp;L'!AQ26</f>
        <v/>
      </c>
      <c r="AR7" s="18">
        <f>'Monthly P&amp;L'!AR26</f>
        <v/>
      </c>
      <c r="AS7" s="18">
        <f>'Monthly P&amp;L'!AS26</f>
        <v/>
      </c>
      <c r="AT7" s="18">
        <f>'Monthly P&amp;L'!AT26</f>
        <v/>
      </c>
      <c r="AU7" s="18">
        <f>'Monthly P&amp;L'!AU26</f>
        <v/>
      </c>
      <c r="AV7" s="18">
        <f>'Monthly P&amp;L'!AV26</f>
        <v/>
      </c>
      <c r="AW7" s="18">
        <f>'Monthly P&amp;L'!AW26</f>
        <v/>
      </c>
      <c r="AX7" s="18">
        <f>'Monthly P&amp;L'!AX26</f>
        <v/>
      </c>
      <c r="AY7" s="18">
        <f>'Monthly P&amp;L'!AY26</f>
        <v/>
      </c>
      <c r="AZ7" s="18">
        <f>'Monthly P&amp;L'!AZ26</f>
        <v/>
      </c>
      <c r="BA7" s="18">
        <f>'Monthly P&amp;L'!BA26</f>
        <v/>
      </c>
    </row>
    <row r="8">
      <c r="A8" s="16" t="inlineStr">
        <is>
          <t>TOTAL INFLOWS</t>
        </is>
      </c>
      <c r="B8" s="19">
        <f>B6+B7</f>
        <v/>
      </c>
      <c r="C8" s="19">
        <f>C6+C7</f>
        <v/>
      </c>
      <c r="D8" s="19">
        <f>D6+D7</f>
        <v/>
      </c>
      <c r="E8" s="19">
        <f>E6+E7</f>
        <v/>
      </c>
      <c r="F8" s="19">
        <f>F6+F7</f>
        <v/>
      </c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  <c r="L8" s="19">
        <f>L6+L7</f>
        <v/>
      </c>
      <c r="M8" s="19">
        <f>M6+M7</f>
        <v/>
      </c>
      <c r="N8" s="19">
        <f>N6+N7</f>
        <v/>
      </c>
      <c r="O8" s="19">
        <f>O6+O7</f>
        <v/>
      </c>
      <c r="P8" s="19">
        <f>P6+P7</f>
        <v/>
      </c>
      <c r="Q8" s="19">
        <f>Q6+Q7</f>
        <v/>
      </c>
      <c r="R8" s="19">
        <f>R6+R7</f>
        <v/>
      </c>
      <c r="S8" s="19">
        <f>S6+S7</f>
        <v/>
      </c>
      <c r="T8" s="19">
        <f>T6+T7</f>
        <v/>
      </c>
      <c r="U8" s="19">
        <f>U6+U7</f>
        <v/>
      </c>
      <c r="V8" s="19">
        <f>V6+V7</f>
        <v/>
      </c>
      <c r="W8" s="19">
        <f>W6+W7</f>
        <v/>
      </c>
      <c r="X8" s="19">
        <f>X6+X7</f>
        <v/>
      </c>
      <c r="Y8" s="19">
        <f>Y6+Y7</f>
        <v/>
      </c>
      <c r="Z8" s="19">
        <f>Z6+Z7</f>
        <v/>
      </c>
      <c r="AA8" s="19">
        <f>AA6+AA7</f>
        <v/>
      </c>
      <c r="AB8" s="19">
        <f>AB6+AB7</f>
        <v/>
      </c>
      <c r="AC8" s="19">
        <f>AC6+AC7</f>
        <v/>
      </c>
      <c r="AD8" s="19">
        <f>AD6+AD7</f>
        <v/>
      </c>
      <c r="AE8" s="19">
        <f>AE6+AE7</f>
        <v/>
      </c>
      <c r="AF8" s="19">
        <f>AF6+AF7</f>
        <v/>
      </c>
      <c r="AG8" s="19">
        <f>AG6+AG7</f>
        <v/>
      </c>
      <c r="AH8" s="19">
        <f>AH6+AH7</f>
        <v/>
      </c>
      <c r="AI8" s="19">
        <f>AI6+AI7</f>
        <v/>
      </c>
      <c r="AJ8" s="19">
        <f>AJ6+AJ7</f>
        <v/>
      </c>
      <c r="AK8" s="19">
        <f>AK6+AK7</f>
        <v/>
      </c>
      <c r="AL8" s="19">
        <f>AL6+AL7</f>
        <v/>
      </c>
      <c r="AM8" s="19">
        <f>AM6+AM7</f>
        <v/>
      </c>
      <c r="AN8" s="19">
        <f>AN6+AN7</f>
        <v/>
      </c>
      <c r="AO8" s="19">
        <f>AO6+AO7</f>
        <v/>
      </c>
      <c r="AP8" s="19">
        <f>AP6+AP7</f>
        <v/>
      </c>
      <c r="AQ8" s="19">
        <f>AQ6+AQ7</f>
        <v/>
      </c>
      <c r="AR8" s="19">
        <f>AR6+AR7</f>
        <v/>
      </c>
      <c r="AS8" s="19">
        <f>AS6+AS7</f>
        <v/>
      </c>
      <c r="AT8" s="19">
        <f>AT6+AT7</f>
        <v/>
      </c>
      <c r="AU8" s="19">
        <f>AU6+AU7</f>
        <v/>
      </c>
      <c r="AV8" s="19">
        <f>AV6+AV7</f>
        <v/>
      </c>
      <c r="AW8" s="19">
        <f>AW6+AW7</f>
        <v/>
      </c>
      <c r="AX8" s="20">
        <f>AX6+AX7</f>
        <v/>
      </c>
      <c r="AY8" s="20">
        <f>AY6+AY7</f>
        <v/>
      </c>
      <c r="AZ8" s="20">
        <f>AZ6+AZ7</f>
        <v/>
      </c>
      <c r="BA8" s="20">
        <f>BA6+BA7</f>
        <v/>
      </c>
    </row>
    <row r="10">
      <c r="A10" s="2" t="inlineStr">
        <is>
          <t>CASH OUTFLOWS — EVERY ITEM</t>
        </is>
      </c>
    </row>
    <row r="11">
      <c r="A11" s="5" t="inlineStr">
        <is>
          <t xml:space="preserve">  — People</t>
        </is>
      </c>
    </row>
    <row r="12">
      <c r="A12" s="3" t="inlineStr">
        <is>
          <t xml:space="preserve">  CEO gross salary (CHF)</t>
        </is>
      </c>
      <c r="B12" s="18">
        <f>'Monthly P&amp;L'!B32</f>
        <v/>
      </c>
      <c r="C12" s="18">
        <f>'Monthly P&amp;L'!C32</f>
        <v/>
      </c>
      <c r="D12" s="18">
        <f>'Monthly P&amp;L'!D32</f>
        <v/>
      </c>
      <c r="E12" s="18">
        <f>'Monthly P&amp;L'!E32</f>
        <v/>
      </c>
      <c r="F12" s="18">
        <f>'Monthly P&amp;L'!F32</f>
        <v/>
      </c>
      <c r="G12" s="18">
        <f>'Monthly P&amp;L'!G32</f>
        <v/>
      </c>
      <c r="H12" s="18">
        <f>'Monthly P&amp;L'!H32</f>
        <v/>
      </c>
      <c r="I12" s="18">
        <f>'Monthly P&amp;L'!I32</f>
        <v/>
      </c>
      <c r="J12" s="18">
        <f>'Monthly P&amp;L'!J32</f>
        <v/>
      </c>
      <c r="K12" s="18">
        <f>'Monthly P&amp;L'!K32</f>
        <v/>
      </c>
      <c r="L12" s="18">
        <f>'Monthly P&amp;L'!L32</f>
        <v/>
      </c>
      <c r="M12" s="18">
        <f>'Monthly P&amp;L'!M32</f>
        <v/>
      </c>
      <c r="N12" s="18">
        <f>'Monthly P&amp;L'!N32</f>
        <v/>
      </c>
      <c r="O12" s="18">
        <f>'Monthly P&amp;L'!O32</f>
        <v/>
      </c>
      <c r="P12" s="18">
        <f>'Monthly P&amp;L'!P32</f>
        <v/>
      </c>
      <c r="Q12" s="18">
        <f>'Monthly P&amp;L'!Q32</f>
        <v/>
      </c>
      <c r="R12" s="18">
        <f>'Monthly P&amp;L'!R32</f>
        <v/>
      </c>
      <c r="S12" s="18">
        <f>'Monthly P&amp;L'!S32</f>
        <v/>
      </c>
      <c r="T12" s="18">
        <f>'Monthly P&amp;L'!T32</f>
        <v/>
      </c>
      <c r="U12" s="18">
        <f>'Monthly P&amp;L'!U32</f>
        <v/>
      </c>
      <c r="V12" s="18">
        <f>'Monthly P&amp;L'!V32</f>
        <v/>
      </c>
      <c r="W12" s="18">
        <f>'Monthly P&amp;L'!W32</f>
        <v/>
      </c>
      <c r="X12" s="18">
        <f>'Monthly P&amp;L'!X32</f>
        <v/>
      </c>
      <c r="Y12" s="18">
        <f>'Monthly P&amp;L'!Y32</f>
        <v/>
      </c>
      <c r="Z12" s="18">
        <f>'Monthly P&amp;L'!Z32</f>
        <v/>
      </c>
      <c r="AA12" s="18">
        <f>'Monthly P&amp;L'!AA32</f>
        <v/>
      </c>
      <c r="AB12" s="18">
        <f>'Monthly P&amp;L'!AB32</f>
        <v/>
      </c>
      <c r="AC12" s="18">
        <f>'Monthly P&amp;L'!AC32</f>
        <v/>
      </c>
      <c r="AD12" s="18">
        <f>'Monthly P&amp;L'!AD32</f>
        <v/>
      </c>
      <c r="AE12" s="18">
        <f>'Monthly P&amp;L'!AE32</f>
        <v/>
      </c>
      <c r="AF12" s="18">
        <f>'Monthly P&amp;L'!AF32</f>
        <v/>
      </c>
      <c r="AG12" s="18">
        <f>'Monthly P&amp;L'!AG32</f>
        <v/>
      </c>
      <c r="AH12" s="18">
        <f>'Monthly P&amp;L'!AH32</f>
        <v/>
      </c>
      <c r="AI12" s="18">
        <f>'Monthly P&amp;L'!AI32</f>
        <v/>
      </c>
      <c r="AJ12" s="18">
        <f>'Monthly P&amp;L'!AJ32</f>
        <v/>
      </c>
      <c r="AK12" s="18">
        <f>'Monthly P&amp;L'!AK32</f>
        <v/>
      </c>
      <c r="AL12" s="18">
        <f>'Monthly P&amp;L'!AL32</f>
        <v/>
      </c>
      <c r="AM12" s="18">
        <f>'Monthly P&amp;L'!AM32</f>
        <v/>
      </c>
      <c r="AN12" s="18">
        <f>'Monthly P&amp;L'!AN32</f>
        <v/>
      </c>
      <c r="AO12" s="18">
        <f>'Monthly P&amp;L'!AO32</f>
        <v/>
      </c>
      <c r="AP12" s="18">
        <f>'Monthly P&amp;L'!AP32</f>
        <v/>
      </c>
      <c r="AQ12" s="18">
        <f>'Monthly P&amp;L'!AQ32</f>
        <v/>
      </c>
      <c r="AR12" s="18">
        <f>'Monthly P&amp;L'!AR32</f>
        <v/>
      </c>
      <c r="AS12" s="18">
        <f>'Monthly P&amp;L'!AS32</f>
        <v/>
      </c>
      <c r="AT12" s="18">
        <f>'Monthly P&amp;L'!AT32</f>
        <v/>
      </c>
      <c r="AU12" s="18">
        <f>'Monthly P&amp;L'!AU32</f>
        <v/>
      </c>
      <c r="AV12" s="18">
        <f>'Monthly P&amp;L'!AV32</f>
        <v/>
      </c>
      <c r="AW12" s="18">
        <f>'Monthly P&amp;L'!AW32</f>
        <v/>
      </c>
      <c r="AX12" s="18">
        <f>'Monthly P&amp;L'!AX32</f>
        <v/>
      </c>
      <c r="AY12" s="18">
        <f>'Monthly P&amp;L'!AY32</f>
        <v/>
      </c>
      <c r="AZ12" s="18">
        <f>'Monthly P&amp;L'!AZ32</f>
        <v/>
      </c>
      <c r="BA12" s="18">
        <f>'Monthly P&amp;L'!BA32</f>
        <v/>
      </c>
    </row>
    <row r="13">
      <c r="A13" s="3" t="inlineStr">
        <is>
          <t xml:space="preserve">  CEO employer social (10.1%)</t>
        </is>
      </c>
      <c r="B13" s="18">
        <f>'Monthly P&amp;L'!B33</f>
        <v/>
      </c>
      <c r="C13" s="18">
        <f>'Monthly P&amp;L'!C33</f>
        <v/>
      </c>
      <c r="D13" s="18">
        <f>'Monthly P&amp;L'!D33</f>
        <v/>
      </c>
      <c r="E13" s="18">
        <f>'Monthly P&amp;L'!E33</f>
        <v/>
      </c>
      <c r="F13" s="18">
        <f>'Monthly P&amp;L'!F33</f>
        <v/>
      </c>
      <c r="G13" s="18">
        <f>'Monthly P&amp;L'!G33</f>
        <v/>
      </c>
      <c r="H13" s="18">
        <f>'Monthly P&amp;L'!H33</f>
        <v/>
      </c>
      <c r="I13" s="18">
        <f>'Monthly P&amp;L'!I33</f>
        <v/>
      </c>
      <c r="J13" s="18">
        <f>'Monthly P&amp;L'!J33</f>
        <v/>
      </c>
      <c r="K13" s="18">
        <f>'Monthly P&amp;L'!K33</f>
        <v/>
      </c>
      <c r="L13" s="18">
        <f>'Monthly P&amp;L'!L33</f>
        <v/>
      </c>
      <c r="M13" s="18">
        <f>'Monthly P&amp;L'!M33</f>
        <v/>
      </c>
      <c r="N13" s="18">
        <f>'Monthly P&amp;L'!N33</f>
        <v/>
      </c>
      <c r="O13" s="18">
        <f>'Monthly P&amp;L'!O33</f>
        <v/>
      </c>
      <c r="P13" s="18">
        <f>'Monthly P&amp;L'!P33</f>
        <v/>
      </c>
      <c r="Q13" s="18">
        <f>'Monthly P&amp;L'!Q33</f>
        <v/>
      </c>
      <c r="R13" s="18">
        <f>'Monthly P&amp;L'!R33</f>
        <v/>
      </c>
      <c r="S13" s="18">
        <f>'Monthly P&amp;L'!S33</f>
        <v/>
      </c>
      <c r="T13" s="18">
        <f>'Monthly P&amp;L'!T33</f>
        <v/>
      </c>
      <c r="U13" s="18">
        <f>'Monthly P&amp;L'!U33</f>
        <v/>
      </c>
      <c r="V13" s="18">
        <f>'Monthly P&amp;L'!V33</f>
        <v/>
      </c>
      <c r="W13" s="18">
        <f>'Monthly P&amp;L'!W33</f>
        <v/>
      </c>
      <c r="X13" s="18">
        <f>'Monthly P&amp;L'!X33</f>
        <v/>
      </c>
      <c r="Y13" s="18">
        <f>'Monthly P&amp;L'!Y33</f>
        <v/>
      </c>
      <c r="Z13" s="18">
        <f>'Monthly P&amp;L'!Z33</f>
        <v/>
      </c>
      <c r="AA13" s="18">
        <f>'Monthly P&amp;L'!AA33</f>
        <v/>
      </c>
      <c r="AB13" s="18">
        <f>'Monthly P&amp;L'!AB33</f>
        <v/>
      </c>
      <c r="AC13" s="18">
        <f>'Monthly P&amp;L'!AC33</f>
        <v/>
      </c>
      <c r="AD13" s="18">
        <f>'Monthly P&amp;L'!AD33</f>
        <v/>
      </c>
      <c r="AE13" s="18">
        <f>'Monthly P&amp;L'!AE33</f>
        <v/>
      </c>
      <c r="AF13" s="18">
        <f>'Monthly P&amp;L'!AF33</f>
        <v/>
      </c>
      <c r="AG13" s="18">
        <f>'Monthly P&amp;L'!AG33</f>
        <v/>
      </c>
      <c r="AH13" s="18">
        <f>'Monthly P&amp;L'!AH33</f>
        <v/>
      </c>
      <c r="AI13" s="18">
        <f>'Monthly P&amp;L'!AI33</f>
        <v/>
      </c>
      <c r="AJ13" s="18">
        <f>'Monthly P&amp;L'!AJ33</f>
        <v/>
      </c>
      <c r="AK13" s="18">
        <f>'Monthly P&amp;L'!AK33</f>
        <v/>
      </c>
      <c r="AL13" s="18">
        <f>'Monthly P&amp;L'!AL33</f>
        <v/>
      </c>
      <c r="AM13" s="18">
        <f>'Monthly P&amp;L'!AM33</f>
        <v/>
      </c>
      <c r="AN13" s="18">
        <f>'Monthly P&amp;L'!AN33</f>
        <v/>
      </c>
      <c r="AO13" s="18">
        <f>'Monthly P&amp;L'!AO33</f>
        <v/>
      </c>
      <c r="AP13" s="18">
        <f>'Monthly P&amp;L'!AP33</f>
        <v/>
      </c>
      <c r="AQ13" s="18">
        <f>'Monthly P&amp;L'!AQ33</f>
        <v/>
      </c>
      <c r="AR13" s="18">
        <f>'Monthly P&amp;L'!AR33</f>
        <v/>
      </c>
      <c r="AS13" s="18">
        <f>'Monthly P&amp;L'!AS33</f>
        <v/>
      </c>
      <c r="AT13" s="18">
        <f>'Monthly P&amp;L'!AT33</f>
        <v/>
      </c>
      <c r="AU13" s="18">
        <f>'Monthly P&amp;L'!AU33</f>
        <v/>
      </c>
      <c r="AV13" s="18">
        <f>'Monthly P&amp;L'!AV33</f>
        <v/>
      </c>
      <c r="AW13" s="18">
        <f>'Monthly P&amp;L'!AW33</f>
        <v/>
      </c>
      <c r="AX13" s="18">
        <f>'Monthly P&amp;L'!AX33</f>
        <v/>
      </c>
      <c r="AY13" s="18">
        <f>'Monthly P&amp;L'!AY33</f>
        <v/>
      </c>
      <c r="AZ13" s="18">
        <f>'Monthly P&amp;L'!AZ33</f>
        <v/>
      </c>
      <c r="BA13" s="18">
        <f>'Monthly P&amp;L'!BA33</f>
        <v/>
      </c>
    </row>
    <row r="14">
      <c r="A14" s="3" t="inlineStr">
        <is>
          <t xml:space="preserve">  Developer FT (€4K/mo)</t>
        </is>
      </c>
      <c r="B14" s="18">
        <f>'Monthly P&amp;L'!B34</f>
        <v/>
      </c>
      <c r="C14" s="18">
        <f>'Monthly P&amp;L'!C34</f>
        <v/>
      </c>
      <c r="D14" s="18">
        <f>'Monthly P&amp;L'!D34</f>
        <v/>
      </c>
      <c r="E14" s="18">
        <f>'Monthly P&amp;L'!E34</f>
        <v/>
      </c>
      <c r="F14" s="18">
        <f>'Monthly P&amp;L'!F34</f>
        <v/>
      </c>
      <c r="G14" s="18">
        <f>'Monthly P&amp;L'!G34</f>
        <v/>
      </c>
      <c r="H14" s="18">
        <f>'Monthly P&amp;L'!H34</f>
        <v/>
      </c>
      <c r="I14" s="18">
        <f>'Monthly P&amp;L'!I34</f>
        <v/>
      </c>
      <c r="J14" s="18">
        <f>'Monthly P&amp;L'!J34</f>
        <v/>
      </c>
      <c r="K14" s="18">
        <f>'Monthly P&amp;L'!K34</f>
        <v/>
      </c>
      <c r="L14" s="18">
        <f>'Monthly P&amp;L'!L34</f>
        <v/>
      </c>
      <c r="M14" s="18">
        <f>'Monthly P&amp;L'!M34</f>
        <v/>
      </c>
      <c r="N14" s="18">
        <f>'Monthly P&amp;L'!N34</f>
        <v/>
      </c>
      <c r="O14" s="18">
        <f>'Monthly P&amp;L'!O34</f>
        <v/>
      </c>
      <c r="P14" s="18">
        <f>'Monthly P&amp;L'!P34</f>
        <v/>
      </c>
      <c r="Q14" s="18">
        <f>'Monthly P&amp;L'!Q34</f>
        <v/>
      </c>
      <c r="R14" s="18">
        <f>'Monthly P&amp;L'!R34</f>
        <v/>
      </c>
      <c r="S14" s="18">
        <f>'Monthly P&amp;L'!S34</f>
        <v/>
      </c>
      <c r="T14" s="18">
        <f>'Monthly P&amp;L'!T34</f>
        <v/>
      </c>
      <c r="U14" s="18">
        <f>'Monthly P&amp;L'!U34</f>
        <v/>
      </c>
      <c r="V14" s="18">
        <f>'Monthly P&amp;L'!V34</f>
        <v/>
      </c>
      <c r="W14" s="18">
        <f>'Monthly P&amp;L'!W34</f>
        <v/>
      </c>
      <c r="X14" s="18">
        <f>'Monthly P&amp;L'!X34</f>
        <v/>
      </c>
      <c r="Y14" s="18">
        <f>'Monthly P&amp;L'!Y34</f>
        <v/>
      </c>
      <c r="Z14" s="18">
        <f>'Monthly P&amp;L'!Z34</f>
        <v/>
      </c>
      <c r="AA14" s="18">
        <f>'Monthly P&amp;L'!AA34</f>
        <v/>
      </c>
      <c r="AB14" s="18">
        <f>'Monthly P&amp;L'!AB34</f>
        <v/>
      </c>
      <c r="AC14" s="18">
        <f>'Monthly P&amp;L'!AC34</f>
        <v/>
      </c>
      <c r="AD14" s="18">
        <f>'Monthly P&amp;L'!AD34</f>
        <v/>
      </c>
      <c r="AE14" s="18">
        <f>'Monthly P&amp;L'!AE34</f>
        <v/>
      </c>
      <c r="AF14" s="18">
        <f>'Monthly P&amp;L'!AF34</f>
        <v/>
      </c>
      <c r="AG14" s="18">
        <f>'Monthly P&amp;L'!AG34</f>
        <v/>
      </c>
      <c r="AH14" s="18">
        <f>'Monthly P&amp;L'!AH34</f>
        <v/>
      </c>
      <c r="AI14" s="18">
        <f>'Monthly P&amp;L'!AI34</f>
        <v/>
      </c>
      <c r="AJ14" s="18">
        <f>'Monthly P&amp;L'!AJ34</f>
        <v/>
      </c>
      <c r="AK14" s="18">
        <f>'Monthly P&amp;L'!AK34</f>
        <v/>
      </c>
      <c r="AL14" s="18">
        <f>'Monthly P&amp;L'!AL34</f>
        <v/>
      </c>
      <c r="AM14" s="18">
        <f>'Monthly P&amp;L'!AM34</f>
        <v/>
      </c>
      <c r="AN14" s="18">
        <f>'Monthly P&amp;L'!AN34</f>
        <v/>
      </c>
      <c r="AO14" s="18">
        <f>'Monthly P&amp;L'!AO34</f>
        <v/>
      </c>
      <c r="AP14" s="18">
        <f>'Monthly P&amp;L'!AP34</f>
        <v/>
      </c>
      <c r="AQ14" s="18">
        <f>'Monthly P&amp;L'!AQ34</f>
        <v/>
      </c>
      <c r="AR14" s="18">
        <f>'Monthly P&amp;L'!AR34</f>
        <v/>
      </c>
      <c r="AS14" s="18">
        <f>'Monthly P&amp;L'!AS34</f>
        <v/>
      </c>
      <c r="AT14" s="18">
        <f>'Monthly P&amp;L'!AT34</f>
        <v/>
      </c>
      <c r="AU14" s="18">
        <f>'Monthly P&amp;L'!AU34</f>
        <v/>
      </c>
      <c r="AV14" s="18">
        <f>'Monthly P&amp;L'!AV34</f>
        <v/>
      </c>
      <c r="AW14" s="18">
        <f>'Monthly P&amp;L'!AW34</f>
        <v/>
      </c>
      <c r="AX14" s="18">
        <f>'Monthly P&amp;L'!AX34</f>
        <v/>
      </c>
      <c r="AY14" s="18">
        <f>'Monthly P&amp;L'!AY34</f>
        <v/>
      </c>
      <c r="AZ14" s="18">
        <f>'Monthly P&amp;L'!AZ34</f>
        <v/>
      </c>
      <c r="BA14" s="18">
        <f>'Monthly P&amp;L'!BA34</f>
        <v/>
      </c>
    </row>
    <row r="15">
      <c r="A15" s="3" t="inlineStr">
        <is>
          <t xml:space="preserve">  PM PT (€4K/mo)</t>
        </is>
      </c>
      <c r="B15" s="18">
        <f>'Monthly P&amp;L'!B35</f>
        <v/>
      </c>
      <c r="C15" s="18">
        <f>'Monthly P&amp;L'!C35</f>
        <v/>
      </c>
      <c r="D15" s="18">
        <f>'Monthly P&amp;L'!D35</f>
        <v/>
      </c>
      <c r="E15" s="18">
        <f>'Monthly P&amp;L'!E35</f>
        <v/>
      </c>
      <c r="F15" s="18">
        <f>'Monthly P&amp;L'!F35</f>
        <v/>
      </c>
      <c r="G15" s="18">
        <f>'Monthly P&amp;L'!G35</f>
        <v/>
      </c>
      <c r="H15" s="18">
        <f>'Monthly P&amp;L'!H35</f>
        <v/>
      </c>
      <c r="I15" s="18">
        <f>'Monthly P&amp;L'!I35</f>
        <v/>
      </c>
      <c r="J15" s="18">
        <f>'Monthly P&amp;L'!J35</f>
        <v/>
      </c>
      <c r="K15" s="18">
        <f>'Monthly P&amp;L'!K35</f>
        <v/>
      </c>
      <c r="L15" s="18">
        <f>'Monthly P&amp;L'!L35</f>
        <v/>
      </c>
      <c r="M15" s="18">
        <f>'Monthly P&amp;L'!M35</f>
        <v/>
      </c>
      <c r="N15" s="18">
        <f>'Monthly P&amp;L'!N35</f>
        <v/>
      </c>
      <c r="O15" s="18">
        <f>'Monthly P&amp;L'!O35</f>
        <v/>
      </c>
      <c r="P15" s="18">
        <f>'Monthly P&amp;L'!P35</f>
        <v/>
      </c>
      <c r="Q15" s="18">
        <f>'Monthly P&amp;L'!Q35</f>
        <v/>
      </c>
      <c r="R15" s="18">
        <f>'Monthly P&amp;L'!R35</f>
        <v/>
      </c>
      <c r="S15" s="18">
        <f>'Monthly P&amp;L'!S35</f>
        <v/>
      </c>
      <c r="T15" s="18">
        <f>'Monthly P&amp;L'!T35</f>
        <v/>
      </c>
      <c r="U15" s="18">
        <f>'Monthly P&amp;L'!U35</f>
        <v/>
      </c>
      <c r="V15" s="18">
        <f>'Monthly P&amp;L'!V35</f>
        <v/>
      </c>
      <c r="W15" s="18">
        <f>'Monthly P&amp;L'!W35</f>
        <v/>
      </c>
      <c r="X15" s="18">
        <f>'Monthly P&amp;L'!X35</f>
        <v/>
      </c>
      <c r="Y15" s="18">
        <f>'Monthly P&amp;L'!Y35</f>
        <v/>
      </c>
      <c r="Z15" s="18">
        <f>'Monthly P&amp;L'!Z35</f>
        <v/>
      </c>
      <c r="AA15" s="18">
        <f>'Monthly P&amp;L'!AA35</f>
        <v/>
      </c>
      <c r="AB15" s="18">
        <f>'Monthly P&amp;L'!AB35</f>
        <v/>
      </c>
      <c r="AC15" s="18">
        <f>'Monthly P&amp;L'!AC35</f>
        <v/>
      </c>
      <c r="AD15" s="18">
        <f>'Monthly P&amp;L'!AD35</f>
        <v/>
      </c>
      <c r="AE15" s="18">
        <f>'Monthly P&amp;L'!AE35</f>
        <v/>
      </c>
      <c r="AF15" s="18">
        <f>'Monthly P&amp;L'!AF35</f>
        <v/>
      </c>
      <c r="AG15" s="18">
        <f>'Monthly P&amp;L'!AG35</f>
        <v/>
      </c>
      <c r="AH15" s="18">
        <f>'Monthly P&amp;L'!AH35</f>
        <v/>
      </c>
      <c r="AI15" s="18">
        <f>'Monthly P&amp;L'!AI35</f>
        <v/>
      </c>
      <c r="AJ15" s="18">
        <f>'Monthly P&amp;L'!AJ35</f>
        <v/>
      </c>
      <c r="AK15" s="18">
        <f>'Monthly P&amp;L'!AK35</f>
        <v/>
      </c>
      <c r="AL15" s="18">
        <f>'Monthly P&amp;L'!AL35</f>
        <v/>
      </c>
      <c r="AM15" s="18">
        <f>'Monthly P&amp;L'!AM35</f>
        <v/>
      </c>
      <c r="AN15" s="18">
        <f>'Monthly P&amp;L'!AN35</f>
        <v/>
      </c>
      <c r="AO15" s="18">
        <f>'Monthly P&amp;L'!AO35</f>
        <v/>
      </c>
      <c r="AP15" s="18">
        <f>'Monthly P&amp;L'!AP35</f>
        <v/>
      </c>
      <c r="AQ15" s="18">
        <f>'Monthly P&amp;L'!AQ35</f>
        <v/>
      </c>
      <c r="AR15" s="18">
        <f>'Monthly P&amp;L'!AR35</f>
        <v/>
      </c>
      <c r="AS15" s="18">
        <f>'Monthly P&amp;L'!AS35</f>
        <v/>
      </c>
      <c r="AT15" s="18">
        <f>'Monthly P&amp;L'!AT35</f>
        <v/>
      </c>
      <c r="AU15" s="18">
        <f>'Monthly P&amp;L'!AU35</f>
        <v/>
      </c>
      <c r="AV15" s="18">
        <f>'Monthly P&amp;L'!AV35</f>
        <v/>
      </c>
      <c r="AW15" s="18">
        <f>'Monthly P&amp;L'!AW35</f>
        <v/>
      </c>
      <c r="AX15" s="18">
        <f>'Monthly P&amp;L'!AX35</f>
        <v/>
      </c>
      <c r="AY15" s="18">
        <f>'Monthly P&amp;L'!AY35</f>
        <v/>
      </c>
      <c r="AZ15" s="18">
        <f>'Monthly P&amp;L'!AZ35</f>
        <v/>
      </c>
      <c r="BA15" s="18">
        <f>'Monthly P&amp;L'!BA35</f>
        <v/>
      </c>
    </row>
    <row r="16">
      <c r="A16" s="3" t="inlineStr">
        <is>
          <t xml:space="preserve">  CS/Implementation (€5K/mo, M12+)</t>
        </is>
      </c>
      <c r="B16" s="18">
        <f>'Monthly P&amp;L'!B36</f>
        <v/>
      </c>
      <c r="C16" s="18">
        <f>'Monthly P&amp;L'!C36</f>
        <v/>
      </c>
      <c r="D16" s="18">
        <f>'Monthly P&amp;L'!D36</f>
        <v/>
      </c>
      <c r="E16" s="18">
        <f>'Monthly P&amp;L'!E36</f>
        <v/>
      </c>
      <c r="F16" s="18">
        <f>'Monthly P&amp;L'!F36</f>
        <v/>
      </c>
      <c r="G16" s="18">
        <f>'Monthly P&amp;L'!G36</f>
        <v/>
      </c>
      <c r="H16" s="18">
        <f>'Monthly P&amp;L'!H36</f>
        <v/>
      </c>
      <c r="I16" s="18">
        <f>'Monthly P&amp;L'!I36</f>
        <v/>
      </c>
      <c r="J16" s="18">
        <f>'Monthly P&amp;L'!J36</f>
        <v/>
      </c>
      <c r="K16" s="18">
        <f>'Monthly P&amp;L'!K36</f>
        <v/>
      </c>
      <c r="L16" s="18">
        <f>'Monthly P&amp;L'!L36</f>
        <v/>
      </c>
      <c r="M16" s="18">
        <f>'Monthly P&amp;L'!M36</f>
        <v/>
      </c>
      <c r="N16" s="18">
        <f>'Monthly P&amp;L'!N36</f>
        <v/>
      </c>
      <c r="O16" s="18">
        <f>'Monthly P&amp;L'!O36</f>
        <v/>
      </c>
      <c r="P16" s="18">
        <f>'Monthly P&amp;L'!P36</f>
        <v/>
      </c>
      <c r="Q16" s="18">
        <f>'Monthly P&amp;L'!Q36</f>
        <v/>
      </c>
      <c r="R16" s="18">
        <f>'Monthly P&amp;L'!R36</f>
        <v/>
      </c>
      <c r="S16" s="18">
        <f>'Monthly P&amp;L'!S36</f>
        <v/>
      </c>
      <c r="T16" s="18">
        <f>'Monthly P&amp;L'!T36</f>
        <v/>
      </c>
      <c r="U16" s="18">
        <f>'Monthly P&amp;L'!U36</f>
        <v/>
      </c>
      <c r="V16" s="18">
        <f>'Monthly P&amp;L'!V36</f>
        <v/>
      </c>
      <c r="W16" s="18">
        <f>'Monthly P&amp;L'!W36</f>
        <v/>
      </c>
      <c r="X16" s="18">
        <f>'Monthly P&amp;L'!X36</f>
        <v/>
      </c>
      <c r="Y16" s="18">
        <f>'Monthly P&amp;L'!Y36</f>
        <v/>
      </c>
      <c r="Z16" s="18">
        <f>'Monthly P&amp;L'!Z36</f>
        <v/>
      </c>
      <c r="AA16" s="18">
        <f>'Monthly P&amp;L'!AA36</f>
        <v/>
      </c>
      <c r="AB16" s="18">
        <f>'Monthly P&amp;L'!AB36</f>
        <v/>
      </c>
      <c r="AC16" s="18">
        <f>'Monthly P&amp;L'!AC36</f>
        <v/>
      </c>
      <c r="AD16" s="18">
        <f>'Monthly P&amp;L'!AD36</f>
        <v/>
      </c>
      <c r="AE16" s="18">
        <f>'Monthly P&amp;L'!AE36</f>
        <v/>
      </c>
      <c r="AF16" s="18">
        <f>'Monthly P&amp;L'!AF36</f>
        <v/>
      </c>
      <c r="AG16" s="18">
        <f>'Monthly P&amp;L'!AG36</f>
        <v/>
      </c>
      <c r="AH16" s="18">
        <f>'Monthly P&amp;L'!AH36</f>
        <v/>
      </c>
      <c r="AI16" s="18">
        <f>'Monthly P&amp;L'!AI36</f>
        <v/>
      </c>
      <c r="AJ16" s="18">
        <f>'Monthly P&amp;L'!AJ36</f>
        <v/>
      </c>
      <c r="AK16" s="18">
        <f>'Monthly P&amp;L'!AK36</f>
        <v/>
      </c>
      <c r="AL16" s="18">
        <f>'Monthly P&amp;L'!AL36</f>
        <v/>
      </c>
      <c r="AM16" s="18">
        <f>'Monthly P&amp;L'!AM36</f>
        <v/>
      </c>
      <c r="AN16" s="18">
        <f>'Monthly P&amp;L'!AN36</f>
        <v/>
      </c>
      <c r="AO16" s="18">
        <f>'Monthly P&amp;L'!AO36</f>
        <v/>
      </c>
      <c r="AP16" s="18">
        <f>'Monthly P&amp;L'!AP36</f>
        <v/>
      </c>
      <c r="AQ16" s="18">
        <f>'Monthly P&amp;L'!AQ36</f>
        <v/>
      </c>
      <c r="AR16" s="18">
        <f>'Monthly P&amp;L'!AR36</f>
        <v/>
      </c>
      <c r="AS16" s="18">
        <f>'Monthly P&amp;L'!AS36</f>
        <v/>
      </c>
      <c r="AT16" s="18">
        <f>'Monthly P&amp;L'!AT36</f>
        <v/>
      </c>
      <c r="AU16" s="18">
        <f>'Monthly P&amp;L'!AU36</f>
        <v/>
      </c>
      <c r="AV16" s="18">
        <f>'Monthly P&amp;L'!AV36</f>
        <v/>
      </c>
      <c r="AW16" s="18">
        <f>'Monthly P&amp;L'!AW36</f>
        <v/>
      </c>
      <c r="AX16" s="18">
        <f>'Monthly P&amp;L'!AX36</f>
        <v/>
      </c>
      <c r="AY16" s="18">
        <f>'Monthly P&amp;L'!AY36</f>
        <v/>
      </c>
      <c r="AZ16" s="18">
        <f>'Monthly P&amp;L'!AZ36</f>
        <v/>
      </c>
      <c r="BA16" s="18">
        <f>'Monthly P&amp;L'!BA36</f>
        <v/>
      </c>
    </row>
    <row r="17">
      <c r="A17" s="3" t="inlineStr">
        <is>
          <t xml:space="preserve">  Senior Engineer (€7K/mo, M18+)</t>
        </is>
      </c>
      <c r="B17" s="18">
        <f>'Monthly P&amp;L'!B37</f>
        <v/>
      </c>
      <c r="C17" s="18">
        <f>'Monthly P&amp;L'!C37</f>
        <v/>
      </c>
      <c r="D17" s="18">
        <f>'Monthly P&amp;L'!D37</f>
        <v/>
      </c>
      <c r="E17" s="18">
        <f>'Monthly P&amp;L'!E37</f>
        <v/>
      </c>
      <c r="F17" s="18">
        <f>'Monthly P&amp;L'!F37</f>
        <v/>
      </c>
      <c r="G17" s="18">
        <f>'Monthly P&amp;L'!G37</f>
        <v/>
      </c>
      <c r="H17" s="18">
        <f>'Monthly P&amp;L'!H37</f>
        <v/>
      </c>
      <c r="I17" s="18">
        <f>'Monthly P&amp;L'!I37</f>
        <v/>
      </c>
      <c r="J17" s="18">
        <f>'Monthly P&amp;L'!J37</f>
        <v/>
      </c>
      <c r="K17" s="18">
        <f>'Monthly P&amp;L'!K37</f>
        <v/>
      </c>
      <c r="L17" s="18">
        <f>'Monthly P&amp;L'!L37</f>
        <v/>
      </c>
      <c r="M17" s="18">
        <f>'Monthly P&amp;L'!M37</f>
        <v/>
      </c>
      <c r="N17" s="18">
        <f>'Monthly P&amp;L'!N37</f>
        <v/>
      </c>
      <c r="O17" s="18">
        <f>'Monthly P&amp;L'!O37</f>
        <v/>
      </c>
      <c r="P17" s="18">
        <f>'Monthly P&amp;L'!P37</f>
        <v/>
      </c>
      <c r="Q17" s="18">
        <f>'Monthly P&amp;L'!Q37</f>
        <v/>
      </c>
      <c r="R17" s="18">
        <f>'Monthly P&amp;L'!R37</f>
        <v/>
      </c>
      <c r="S17" s="18">
        <f>'Monthly P&amp;L'!S37</f>
        <v/>
      </c>
      <c r="T17" s="18">
        <f>'Monthly P&amp;L'!T37</f>
        <v/>
      </c>
      <c r="U17" s="18">
        <f>'Monthly P&amp;L'!U37</f>
        <v/>
      </c>
      <c r="V17" s="18">
        <f>'Monthly P&amp;L'!V37</f>
        <v/>
      </c>
      <c r="W17" s="18">
        <f>'Monthly P&amp;L'!W37</f>
        <v/>
      </c>
      <c r="X17" s="18">
        <f>'Monthly P&amp;L'!X37</f>
        <v/>
      </c>
      <c r="Y17" s="18">
        <f>'Monthly P&amp;L'!Y37</f>
        <v/>
      </c>
      <c r="Z17" s="18">
        <f>'Monthly P&amp;L'!Z37</f>
        <v/>
      </c>
      <c r="AA17" s="18">
        <f>'Monthly P&amp;L'!AA37</f>
        <v/>
      </c>
      <c r="AB17" s="18">
        <f>'Monthly P&amp;L'!AB37</f>
        <v/>
      </c>
      <c r="AC17" s="18">
        <f>'Monthly P&amp;L'!AC37</f>
        <v/>
      </c>
      <c r="AD17" s="18">
        <f>'Monthly P&amp;L'!AD37</f>
        <v/>
      </c>
      <c r="AE17" s="18">
        <f>'Monthly P&amp;L'!AE37</f>
        <v/>
      </c>
      <c r="AF17" s="18">
        <f>'Monthly P&amp;L'!AF37</f>
        <v/>
      </c>
      <c r="AG17" s="18">
        <f>'Monthly P&amp;L'!AG37</f>
        <v/>
      </c>
      <c r="AH17" s="18">
        <f>'Monthly P&amp;L'!AH37</f>
        <v/>
      </c>
      <c r="AI17" s="18">
        <f>'Monthly P&amp;L'!AI37</f>
        <v/>
      </c>
      <c r="AJ17" s="18">
        <f>'Monthly P&amp;L'!AJ37</f>
        <v/>
      </c>
      <c r="AK17" s="18">
        <f>'Monthly P&amp;L'!AK37</f>
        <v/>
      </c>
      <c r="AL17" s="18">
        <f>'Monthly P&amp;L'!AL37</f>
        <v/>
      </c>
      <c r="AM17" s="18">
        <f>'Monthly P&amp;L'!AM37</f>
        <v/>
      </c>
      <c r="AN17" s="18">
        <f>'Monthly P&amp;L'!AN37</f>
        <v/>
      </c>
      <c r="AO17" s="18">
        <f>'Monthly P&amp;L'!AO37</f>
        <v/>
      </c>
      <c r="AP17" s="18">
        <f>'Monthly P&amp;L'!AP37</f>
        <v/>
      </c>
      <c r="AQ17" s="18">
        <f>'Monthly P&amp;L'!AQ37</f>
        <v/>
      </c>
      <c r="AR17" s="18">
        <f>'Monthly P&amp;L'!AR37</f>
        <v/>
      </c>
      <c r="AS17" s="18">
        <f>'Monthly P&amp;L'!AS37</f>
        <v/>
      </c>
      <c r="AT17" s="18">
        <f>'Monthly P&amp;L'!AT37</f>
        <v/>
      </c>
      <c r="AU17" s="18">
        <f>'Monthly P&amp;L'!AU37</f>
        <v/>
      </c>
      <c r="AV17" s="18">
        <f>'Monthly P&amp;L'!AV37</f>
        <v/>
      </c>
      <c r="AW17" s="18">
        <f>'Monthly P&amp;L'!AW37</f>
        <v/>
      </c>
      <c r="AX17" s="18">
        <f>'Monthly P&amp;L'!AX37</f>
        <v/>
      </c>
      <c r="AY17" s="18">
        <f>'Monthly P&amp;L'!AY37</f>
        <v/>
      </c>
      <c r="AZ17" s="18">
        <f>'Monthly P&amp;L'!AZ37</f>
        <v/>
      </c>
      <c r="BA17" s="18">
        <f>'Monthly P&amp;L'!BA37</f>
        <v/>
      </c>
    </row>
    <row r="18">
      <c r="A18" s="3" t="inlineStr">
        <is>
          <t xml:space="preserve">  Sales/BD (€6K/mo, M18+)</t>
        </is>
      </c>
      <c r="B18" s="18">
        <f>'Monthly P&amp;L'!B38</f>
        <v/>
      </c>
      <c r="C18" s="18">
        <f>'Monthly P&amp;L'!C38</f>
        <v/>
      </c>
      <c r="D18" s="18">
        <f>'Monthly P&amp;L'!D38</f>
        <v/>
      </c>
      <c r="E18" s="18">
        <f>'Monthly P&amp;L'!E38</f>
        <v/>
      </c>
      <c r="F18" s="18">
        <f>'Monthly P&amp;L'!F38</f>
        <v/>
      </c>
      <c r="G18" s="18">
        <f>'Monthly P&amp;L'!G38</f>
        <v/>
      </c>
      <c r="H18" s="18">
        <f>'Monthly P&amp;L'!H38</f>
        <v/>
      </c>
      <c r="I18" s="18">
        <f>'Monthly P&amp;L'!I38</f>
        <v/>
      </c>
      <c r="J18" s="18">
        <f>'Monthly P&amp;L'!J38</f>
        <v/>
      </c>
      <c r="K18" s="18">
        <f>'Monthly P&amp;L'!K38</f>
        <v/>
      </c>
      <c r="L18" s="18">
        <f>'Monthly P&amp;L'!L38</f>
        <v/>
      </c>
      <c r="M18" s="18">
        <f>'Monthly P&amp;L'!M38</f>
        <v/>
      </c>
      <c r="N18" s="18">
        <f>'Monthly P&amp;L'!N38</f>
        <v/>
      </c>
      <c r="O18" s="18">
        <f>'Monthly P&amp;L'!O38</f>
        <v/>
      </c>
      <c r="P18" s="18">
        <f>'Monthly P&amp;L'!P38</f>
        <v/>
      </c>
      <c r="Q18" s="18">
        <f>'Monthly P&amp;L'!Q38</f>
        <v/>
      </c>
      <c r="R18" s="18">
        <f>'Monthly P&amp;L'!R38</f>
        <v/>
      </c>
      <c r="S18" s="18">
        <f>'Monthly P&amp;L'!S38</f>
        <v/>
      </c>
      <c r="T18" s="18">
        <f>'Monthly P&amp;L'!T38</f>
        <v/>
      </c>
      <c r="U18" s="18">
        <f>'Monthly P&amp;L'!U38</f>
        <v/>
      </c>
      <c r="V18" s="18">
        <f>'Monthly P&amp;L'!V38</f>
        <v/>
      </c>
      <c r="W18" s="18">
        <f>'Monthly P&amp;L'!W38</f>
        <v/>
      </c>
      <c r="X18" s="18">
        <f>'Monthly P&amp;L'!X38</f>
        <v/>
      </c>
      <c r="Y18" s="18">
        <f>'Monthly P&amp;L'!Y38</f>
        <v/>
      </c>
      <c r="Z18" s="18">
        <f>'Monthly P&amp;L'!Z38</f>
        <v/>
      </c>
      <c r="AA18" s="18">
        <f>'Monthly P&amp;L'!AA38</f>
        <v/>
      </c>
      <c r="AB18" s="18">
        <f>'Monthly P&amp;L'!AB38</f>
        <v/>
      </c>
      <c r="AC18" s="18">
        <f>'Monthly P&amp;L'!AC38</f>
        <v/>
      </c>
      <c r="AD18" s="18">
        <f>'Monthly P&amp;L'!AD38</f>
        <v/>
      </c>
      <c r="AE18" s="18">
        <f>'Monthly P&amp;L'!AE38</f>
        <v/>
      </c>
      <c r="AF18" s="18">
        <f>'Monthly P&amp;L'!AF38</f>
        <v/>
      </c>
      <c r="AG18" s="18">
        <f>'Monthly P&amp;L'!AG38</f>
        <v/>
      </c>
      <c r="AH18" s="18">
        <f>'Monthly P&amp;L'!AH38</f>
        <v/>
      </c>
      <c r="AI18" s="18">
        <f>'Monthly P&amp;L'!AI38</f>
        <v/>
      </c>
      <c r="AJ18" s="18">
        <f>'Monthly P&amp;L'!AJ38</f>
        <v/>
      </c>
      <c r="AK18" s="18">
        <f>'Monthly P&amp;L'!AK38</f>
        <v/>
      </c>
      <c r="AL18" s="18">
        <f>'Monthly P&amp;L'!AL38</f>
        <v/>
      </c>
      <c r="AM18" s="18">
        <f>'Monthly P&amp;L'!AM38</f>
        <v/>
      </c>
      <c r="AN18" s="18">
        <f>'Monthly P&amp;L'!AN38</f>
        <v/>
      </c>
      <c r="AO18" s="18">
        <f>'Monthly P&amp;L'!AO38</f>
        <v/>
      </c>
      <c r="AP18" s="18">
        <f>'Monthly P&amp;L'!AP38</f>
        <v/>
      </c>
      <c r="AQ18" s="18">
        <f>'Monthly P&amp;L'!AQ38</f>
        <v/>
      </c>
      <c r="AR18" s="18">
        <f>'Monthly P&amp;L'!AR38</f>
        <v/>
      </c>
      <c r="AS18" s="18">
        <f>'Monthly P&amp;L'!AS38</f>
        <v/>
      </c>
      <c r="AT18" s="18">
        <f>'Monthly P&amp;L'!AT38</f>
        <v/>
      </c>
      <c r="AU18" s="18">
        <f>'Monthly P&amp;L'!AU38</f>
        <v/>
      </c>
      <c r="AV18" s="18">
        <f>'Monthly P&amp;L'!AV38</f>
        <v/>
      </c>
      <c r="AW18" s="18">
        <f>'Monthly P&amp;L'!AW38</f>
        <v/>
      </c>
      <c r="AX18" s="18">
        <f>'Monthly P&amp;L'!AX38</f>
        <v/>
      </c>
      <c r="AY18" s="18">
        <f>'Monthly P&amp;L'!AY38</f>
        <v/>
      </c>
      <c r="AZ18" s="18">
        <f>'Monthly P&amp;L'!AZ38</f>
        <v/>
      </c>
      <c r="BA18" s="18">
        <f>'Monthly P&amp;L'!BA38</f>
        <v/>
      </c>
    </row>
    <row r="19">
      <c r="A19" s="3" t="inlineStr">
        <is>
          <t xml:space="preserve">  Engineer (€6K/mo, M30+)</t>
        </is>
      </c>
      <c r="B19" s="18">
        <f>'Monthly P&amp;L'!B39</f>
        <v/>
      </c>
      <c r="C19" s="18">
        <f>'Monthly P&amp;L'!C39</f>
        <v/>
      </c>
      <c r="D19" s="18">
        <f>'Monthly P&amp;L'!D39</f>
        <v/>
      </c>
      <c r="E19" s="18">
        <f>'Monthly P&amp;L'!E39</f>
        <v/>
      </c>
      <c r="F19" s="18">
        <f>'Monthly P&amp;L'!F39</f>
        <v/>
      </c>
      <c r="G19" s="18">
        <f>'Monthly P&amp;L'!G39</f>
        <v/>
      </c>
      <c r="H19" s="18">
        <f>'Monthly P&amp;L'!H39</f>
        <v/>
      </c>
      <c r="I19" s="18">
        <f>'Monthly P&amp;L'!I39</f>
        <v/>
      </c>
      <c r="J19" s="18">
        <f>'Monthly P&amp;L'!J39</f>
        <v/>
      </c>
      <c r="K19" s="18">
        <f>'Monthly P&amp;L'!K39</f>
        <v/>
      </c>
      <c r="L19" s="18">
        <f>'Monthly P&amp;L'!L39</f>
        <v/>
      </c>
      <c r="M19" s="18">
        <f>'Monthly P&amp;L'!M39</f>
        <v/>
      </c>
      <c r="N19" s="18">
        <f>'Monthly P&amp;L'!N39</f>
        <v/>
      </c>
      <c r="O19" s="18">
        <f>'Monthly P&amp;L'!O39</f>
        <v/>
      </c>
      <c r="P19" s="18">
        <f>'Monthly P&amp;L'!P39</f>
        <v/>
      </c>
      <c r="Q19" s="18">
        <f>'Monthly P&amp;L'!Q39</f>
        <v/>
      </c>
      <c r="R19" s="18">
        <f>'Monthly P&amp;L'!R39</f>
        <v/>
      </c>
      <c r="S19" s="18">
        <f>'Monthly P&amp;L'!S39</f>
        <v/>
      </c>
      <c r="T19" s="18">
        <f>'Monthly P&amp;L'!T39</f>
        <v/>
      </c>
      <c r="U19" s="18">
        <f>'Monthly P&amp;L'!U39</f>
        <v/>
      </c>
      <c r="V19" s="18">
        <f>'Monthly P&amp;L'!V39</f>
        <v/>
      </c>
      <c r="W19" s="18">
        <f>'Monthly P&amp;L'!W39</f>
        <v/>
      </c>
      <c r="X19" s="18">
        <f>'Monthly P&amp;L'!X39</f>
        <v/>
      </c>
      <c r="Y19" s="18">
        <f>'Monthly P&amp;L'!Y39</f>
        <v/>
      </c>
      <c r="Z19" s="18">
        <f>'Monthly P&amp;L'!Z39</f>
        <v/>
      </c>
      <c r="AA19" s="18">
        <f>'Monthly P&amp;L'!AA39</f>
        <v/>
      </c>
      <c r="AB19" s="18">
        <f>'Monthly P&amp;L'!AB39</f>
        <v/>
      </c>
      <c r="AC19" s="18">
        <f>'Monthly P&amp;L'!AC39</f>
        <v/>
      </c>
      <c r="AD19" s="18">
        <f>'Monthly P&amp;L'!AD39</f>
        <v/>
      </c>
      <c r="AE19" s="18">
        <f>'Monthly P&amp;L'!AE39</f>
        <v/>
      </c>
      <c r="AF19" s="18">
        <f>'Monthly P&amp;L'!AF39</f>
        <v/>
      </c>
      <c r="AG19" s="18">
        <f>'Monthly P&amp;L'!AG39</f>
        <v/>
      </c>
      <c r="AH19" s="18">
        <f>'Monthly P&amp;L'!AH39</f>
        <v/>
      </c>
      <c r="AI19" s="18">
        <f>'Monthly P&amp;L'!AI39</f>
        <v/>
      </c>
      <c r="AJ19" s="18">
        <f>'Monthly P&amp;L'!AJ39</f>
        <v/>
      </c>
      <c r="AK19" s="18">
        <f>'Monthly P&amp;L'!AK39</f>
        <v/>
      </c>
      <c r="AL19" s="18">
        <f>'Monthly P&amp;L'!AL39</f>
        <v/>
      </c>
      <c r="AM19" s="18">
        <f>'Monthly P&amp;L'!AM39</f>
        <v/>
      </c>
      <c r="AN19" s="18">
        <f>'Monthly P&amp;L'!AN39</f>
        <v/>
      </c>
      <c r="AO19" s="18">
        <f>'Monthly P&amp;L'!AO39</f>
        <v/>
      </c>
      <c r="AP19" s="18">
        <f>'Monthly P&amp;L'!AP39</f>
        <v/>
      </c>
      <c r="AQ19" s="18">
        <f>'Monthly P&amp;L'!AQ39</f>
        <v/>
      </c>
      <c r="AR19" s="18">
        <f>'Monthly P&amp;L'!AR39</f>
        <v/>
      </c>
      <c r="AS19" s="18">
        <f>'Monthly P&amp;L'!AS39</f>
        <v/>
      </c>
      <c r="AT19" s="18">
        <f>'Monthly P&amp;L'!AT39</f>
        <v/>
      </c>
      <c r="AU19" s="18">
        <f>'Monthly P&amp;L'!AU39</f>
        <v/>
      </c>
      <c r="AV19" s="18">
        <f>'Monthly P&amp;L'!AV39</f>
        <v/>
      </c>
      <c r="AW19" s="18">
        <f>'Monthly P&amp;L'!AW39</f>
        <v/>
      </c>
      <c r="AX19" s="18">
        <f>'Monthly P&amp;L'!AX39</f>
        <v/>
      </c>
      <c r="AY19" s="18">
        <f>'Monthly P&amp;L'!AY39</f>
        <v/>
      </c>
      <c r="AZ19" s="18">
        <f>'Monthly P&amp;L'!AZ39</f>
        <v/>
      </c>
      <c r="BA19" s="18">
        <f>'Monthly P&amp;L'!BA39</f>
        <v/>
      </c>
    </row>
    <row r="20">
      <c r="A20" s="3" t="inlineStr">
        <is>
          <t xml:space="preserve">  Marketing (€5K/mo, M36+)</t>
        </is>
      </c>
      <c r="B20" s="18">
        <f>'Monthly P&amp;L'!B40</f>
        <v/>
      </c>
      <c r="C20" s="18">
        <f>'Monthly P&amp;L'!C40</f>
        <v/>
      </c>
      <c r="D20" s="18">
        <f>'Monthly P&amp;L'!D40</f>
        <v/>
      </c>
      <c r="E20" s="18">
        <f>'Monthly P&amp;L'!E40</f>
        <v/>
      </c>
      <c r="F20" s="18">
        <f>'Monthly P&amp;L'!F40</f>
        <v/>
      </c>
      <c r="G20" s="18">
        <f>'Monthly P&amp;L'!G40</f>
        <v/>
      </c>
      <c r="H20" s="18">
        <f>'Monthly P&amp;L'!H40</f>
        <v/>
      </c>
      <c r="I20" s="18">
        <f>'Monthly P&amp;L'!I40</f>
        <v/>
      </c>
      <c r="J20" s="18">
        <f>'Monthly P&amp;L'!J40</f>
        <v/>
      </c>
      <c r="K20" s="18">
        <f>'Monthly P&amp;L'!K40</f>
        <v/>
      </c>
      <c r="L20" s="18">
        <f>'Monthly P&amp;L'!L40</f>
        <v/>
      </c>
      <c r="M20" s="18">
        <f>'Monthly P&amp;L'!M40</f>
        <v/>
      </c>
      <c r="N20" s="18">
        <f>'Monthly P&amp;L'!N40</f>
        <v/>
      </c>
      <c r="O20" s="18">
        <f>'Monthly P&amp;L'!O40</f>
        <v/>
      </c>
      <c r="P20" s="18">
        <f>'Monthly P&amp;L'!P40</f>
        <v/>
      </c>
      <c r="Q20" s="18">
        <f>'Monthly P&amp;L'!Q40</f>
        <v/>
      </c>
      <c r="R20" s="18">
        <f>'Monthly P&amp;L'!R40</f>
        <v/>
      </c>
      <c r="S20" s="18">
        <f>'Monthly P&amp;L'!S40</f>
        <v/>
      </c>
      <c r="T20" s="18">
        <f>'Monthly P&amp;L'!T40</f>
        <v/>
      </c>
      <c r="U20" s="18">
        <f>'Monthly P&amp;L'!U40</f>
        <v/>
      </c>
      <c r="V20" s="18">
        <f>'Monthly P&amp;L'!V40</f>
        <v/>
      </c>
      <c r="W20" s="18">
        <f>'Monthly P&amp;L'!W40</f>
        <v/>
      </c>
      <c r="X20" s="18">
        <f>'Monthly P&amp;L'!X40</f>
        <v/>
      </c>
      <c r="Y20" s="18">
        <f>'Monthly P&amp;L'!Y40</f>
        <v/>
      </c>
      <c r="Z20" s="18">
        <f>'Monthly P&amp;L'!Z40</f>
        <v/>
      </c>
      <c r="AA20" s="18">
        <f>'Monthly P&amp;L'!AA40</f>
        <v/>
      </c>
      <c r="AB20" s="18">
        <f>'Monthly P&amp;L'!AB40</f>
        <v/>
      </c>
      <c r="AC20" s="18">
        <f>'Monthly P&amp;L'!AC40</f>
        <v/>
      </c>
      <c r="AD20" s="18">
        <f>'Monthly P&amp;L'!AD40</f>
        <v/>
      </c>
      <c r="AE20" s="18">
        <f>'Monthly P&amp;L'!AE40</f>
        <v/>
      </c>
      <c r="AF20" s="18">
        <f>'Monthly P&amp;L'!AF40</f>
        <v/>
      </c>
      <c r="AG20" s="18">
        <f>'Monthly P&amp;L'!AG40</f>
        <v/>
      </c>
      <c r="AH20" s="18">
        <f>'Monthly P&amp;L'!AH40</f>
        <v/>
      </c>
      <c r="AI20" s="18">
        <f>'Monthly P&amp;L'!AI40</f>
        <v/>
      </c>
      <c r="AJ20" s="18">
        <f>'Monthly P&amp;L'!AJ40</f>
        <v/>
      </c>
      <c r="AK20" s="18">
        <f>'Monthly P&amp;L'!AK40</f>
        <v/>
      </c>
      <c r="AL20" s="18">
        <f>'Monthly P&amp;L'!AL40</f>
        <v/>
      </c>
      <c r="AM20" s="18">
        <f>'Monthly P&amp;L'!AM40</f>
        <v/>
      </c>
      <c r="AN20" s="18">
        <f>'Monthly P&amp;L'!AN40</f>
        <v/>
      </c>
      <c r="AO20" s="18">
        <f>'Monthly P&amp;L'!AO40</f>
        <v/>
      </c>
      <c r="AP20" s="18">
        <f>'Monthly P&amp;L'!AP40</f>
        <v/>
      </c>
      <c r="AQ20" s="18">
        <f>'Monthly P&amp;L'!AQ40</f>
        <v/>
      </c>
      <c r="AR20" s="18">
        <f>'Monthly P&amp;L'!AR40</f>
        <v/>
      </c>
      <c r="AS20" s="18">
        <f>'Monthly P&amp;L'!AS40</f>
        <v/>
      </c>
      <c r="AT20" s="18">
        <f>'Monthly P&amp;L'!AT40</f>
        <v/>
      </c>
      <c r="AU20" s="18">
        <f>'Monthly P&amp;L'!AU40</f>
        <v/>
      </c>
      <c r="AV20" s="18">
        <f>'Monthly P&amp;L'!AV40</f>
        <v/>
      </c>
      <c r="AW20" s="18">
        <f>'Monthly P&amp;L'!AW40</f>
        <v/>
      </c>
      <c r="AX20" s="18">
        <f>'Monthly P&amp;L'!AX40</f>
        <v/>
      </c>
      <c r="AY20" s="18">
        <f>'Monthly P&amp;L'!AY40</f>
        <v/>
      </c>
      <c r="AZ20" s="18">
        <f>'Monthly P&amp;L'!AZ40</f>
        <v/>
      </c>
      <c r="BA20" s="18">
        <f>'Monthly P&amp;L'!BA40</f>
        <v/>
      </c>
    </row>
    <row r="21">
      <c r="A21" s="5" t="inlineStr">
        <is>
          <t xml:space="preserve">  — AI &amp; Technology</t>
        </is>
      </c>
    </row>
    <row r="22">
      <c r="A22" s="3" t="inlineStr">
        <is>
          <t xml:space="preserve">  AI COGS (€50/hotel/mo)</t>
        </is>
      </c>
      <c r="B22" s="18">
        <f>'Monthly P&amp;L'!B42</f>
        <v/>
      </c>
      <c r="C22" s="18">
        <f>'Monthly P&amp;L'!C42</f>
        <v/>
      </c>
      <c r="D22" s="18">
        <f>'Monthly P&amp;L'!D42</f>
        <v/>
      </c>
      <c r="E22" s="18">
        <f>'Monthly P&amp;L'!E42</f>
        <v/>
      </c>
      <c r="F22" s="18">
        <f>'Monthly P&amp;L'!F42</f>
        <v/>
      </c>
      <c r="G22" s="18">
        <f>'Monthly P&amp;L'!G42</f>
        <v/>
      </c>
      <c r="H22" s="18">
        <f>'Monthly P&amp;L'!H42</f>
        <v/>
      </c>
      <c r="I22" s="18">
        <f>'Monthly P&amp;L'!I42</f>
        <v/>
      </c>
      <c r="J22" s="18">
        <f>'Monthly P&amp;L'!J42</f>
        <v/>
      </c>
      <c r="K22" s="18">
        <f>'Monthly P&amp;L'!K42</f>
        <v/>
      </c>
      <c r="L22" s="18">
        <f>'Monthly P&amp;L'!L42</f>
        <v/>
      </c>
      <c r="M22" s="18">
        <f>'Monthly P&amp;L'!M42</f>
        <v/>
      </c>
      <c r="N22" s="18">
        <f>'Monthly P&amp;L'!N42</f>
        <v/>
      </c>
      <c r="O22" s="18">
        <f>'Monthly P&amp;L'!O42</f>
        <v/>
      </c>
      <c r="P22" s="18">
        <f>'Monthly P&amp;L'!P42</f>
        <v/>
      </c>
      <c r="Q22" s="18">
        <f>'Monthly P&amp;L'!Q42</f>
        <v/>
      </c>
      <c r="R22" s="18">
        <f>'Monthly P&amp;L'!R42</f>
        <v/>
      </c>
      <c r="S22" s="18">
        <f>'Monthly P&amp;L'!S42</f>
        <v/>
      </c>
      <c r="T22" s="18">
        <f>'Monthly P&amp;L'!T42</f>
        <v/>
      </c>
      <c r="U22" s="18">
        <f>'Monthly P&amp;L'!U42</f>
        <v/>
      </c>
      <c r="V22" s="18">
        <f>'Monthly P&amp;L'!V42</f>
        <v/>
      </c>
      <c r="W22" s="18">
        <f>'Monthly P&amp;L'!W42</f>
        <v/>
      </c>
      <c r="X22" s="18">
        <f>'Monthly P&amp;L'!X42</f>
        <v/>
      </c>
      <c r="Y22" s="18">
        <f>'Monthly P&amp;L'!Y42</f>
        <v/>
      </c>
      <c r="Z22" s="18">
        <f>'Monthly P&amp;L'!Z42</f>
        <v/>
      </c>
      <c r="AA22" s="18">
        <f>'Monthly P&amp;L'!AA42</f>
        <v/>
      </c>
      <c r="AB22" s="18">
        <f>'Monthly P&amp;L'!AB42</f>
        <v/>
      </c>
      <c r="AC22" s="18">
        <f>'Monthly P&amp;L'!AC42</f>
        <v/>
      </c>
      <c r="AD22" s="18">
        <f>'Monthly P&amp;L'!AD42</f>
        <v/>
      </c>
      <c r="AE22" s="18">
        <f>'Monthly P&amp;L'!AE42</f>
        <v/>
      </c>
      <c r="AF22" s="18">
        <f>'Monthly P&amp;L'!AF42</f>
        <v/>
      </c>
      <c r="AG22" s="18">
        <f>'Monthly P&amp;L'!AG42</f>
        <v/>
      </c>
      <c r="AH22" s="18">
        <f>'Monthly P&amp;L'!AH42</f>
        <v/>
      </c>
      <c r="AI22" s="18">
        <f>'Monthly P&amp;L'!AI42</f>
        <v/>
      </c>
      <c r="AJ22" s="18">
        <f>'Monthly P&amp;L'!AJ42</f>
        <v/>
      </c>
      <c r="AK22" s="18">
        <f>'Monthly P&amp;L'!AK42</f>
        <v/>
      </c>
      <c r="AL22" s="18">
        <f>'Monthly P&amp;L'!AL42</f>
        <v/>
      </c>
      <c r="AM22" s="18">
        <f>'Monthly P&amp;L'!AM42</f>
        <v/>
      </c>
      <c r="AN22" s="18">
        <f>'Monthly P&amp;L'!AN42</f>
        <v/>
      </c>
      <c r="AO22" s="18">
        <f>'Monthly P&amp;L'!AO42</f>
        <v/>
      </c>
      <c r="AP22" s="18">
        <f>'Monthly P&amp;L'!AP42</f>
        <v/>
      </c>
      <c r="AQ22" s="18">
        <f>'Monthly P&amp;L'!AQ42</f>
        <v/>
      </c>
      <c r="AR22" s="18">
        <f>'Monthly P&amp;L'!AR42</f>
        <v/>
      </c>
      <c r="AS22" s="18">
        <f>'Monthly P&amp;L'!AS42</f>
        <v/>
      </c>
      <c r="AT22" s="18">
        <f>'Monthly P&amp;L'!AT42</f>
        <v/>
      </c>
      <c r="AU22" s="18">
        <f>'Monthly P&amp;L'!AU42</f>
        <v/>
      </c>
      <c r="AV22" s="18">
        <f>'Monthly P&amp;L'!AV42</f>
        <v/>
      </c>
      <c r="AW22" s="18">
        <f>'Monthly P&amp;L'!AW42</f>
        <v/>
      </c>
      <c r="AX22" s="18">
        <f>'Monthly P&amp;L'!AX42</f>
        <v/>
      </c>
      <c r="AY22" s="18">
        <f>'Monthly P&amp;L'!AY42</f>
        <v/>
      </c>
      <c r="AZ22" s="18">
        <f>'Monthly P&amp;L'!AZ42</f>
        <v/>
      </c>
      <c r="BA22" s="18">
        <f>'Monthly P&amp;L'!BA42</f>
        <v/>
      </c>
    </row>
    <row r="23">
      <c r="A23" s="3" t="inlineStr">
        <is>
          <t xml:space="preserve">  Claude Code Max 20x ($200)</t>
        </is>
      </c>
      <c r="B23" s="18">
        <f>'Monthly P&amp;L'!B43</f>
        <v/>
      </c>
      <c r="C23" s="18">
        <f>'Monthly P&amp;L'!C43</f>
        <v/>
      </c>
      <c r="D23" s="18">
        <f>'Monthly P&amp;L'!D43</f>
        <v/>
      </c>
      <c r="E23" s="18">
        <f>'Monthly P&amp;L'!E43</f>
        <v/>
      </c>
      <c r="F23" s="18">
        <f>'Monthly P&amp;L'!F43</f>
        <v/>
      </c>
      <c r="G23" s="18">
        <f>'Monthly P&amp;L'!G43</f>
        <v/>
      </c>
      <c r="H23" s="18">
        <f>'Monthly P&amp;L'!H43</f>
        <v/>
      </c>
      <c r="I23" s="18">
        <f>'Monthly P&amp;L'!I43</f>
        <v/>
      </c>
      <c r="J23" s="18">
        <f>'Monthly P&amp;L'!J43</f>
        <v/>
      </c>
      <c r="K23" s="18">
        <f>'Monthly P&amp;L'!K43</f>
        <v/>
      </c>
      <c r="L23" s="18">
        <f>'Monthly P&amp;L'!L43</f>
        <v/>
      </c>
      <c r="M23" s="18">
        <f>'Monthly P&amp;L'!M43</f>
        <v/>
      </c>
      <c r="N23" s="18">
        <f>'Monthly P&amp;L'!N43</f>
        <v/>
      </c>
      <c r="O23" s="18">
        <f>'Monthly P&amp;L'!O43</f>
        <v/>
      </c>
      <c r="P23" s="18">
        <f>'Monthly P&amp;L'!P43</f>
        <v/>
      </c>
      <c r="Q23" s="18">
        <f>'Monthly P&amp;L'!Q43</f>
        <v/>
      </c>
      <c r="R23" s="18">
        <f>'Monthly P&amp;L'!R43</f>
        <v/>
      </c>
      <c r="S23" s="18">
        <f>'Monthly P&amp;L'!S43</f>
        <v/>
      </c>
      <c r="T23" s="18">
        <f>'Monthly P&amp;L'!T43</f>
        <v/>
      </c>
      <c r="U23" s="18">
        <f>'Monthly P&amp;L'!U43</f>
        <v/>
      </c>
      <c r="V23" s="18">
        <f>'Monthly P&amp;L'!V43</f>
        <v/>
      </c>
      <c r="W23" s="18">
        <f>'Monthly P&amp;L'!W43</f>
        <v/>
      </c>
      <c r="X23" s="18">
        <f>'Monthly P&amp;L'!X43</f>
        <v/>
      </c>
      <c r="Y23" s="18">
        <f>'Monthly P&amp;L'!Y43</f>
        <v/>
      </c>
      <c r="Z23" s="18">
        <f>'Monthly P&amp;L'!Z43</f>
        <v/>
      </c>
      <c r="AA23" s="18">
        <f>'Monthly P&amp;L'!AA43</f>
        <v/>
      </c>
      <c r="AB23" s="18">
        <f>'Monthly P&amp;L'!AB43</f>
        <v/>
      </c>
      <c r="AC23" s="18">
        <f>'Monthly P&amp;L'!AC43</f>
        <v/>
      </c>
      <c r="AD23" s="18">
        <f>'Monthly P&amp;L'!AD43</f>
        <v/>
      </c>
      <c r="AE23" s="18">
        <f>'Monthly P&amp;L'!AE43</f>
        <v/>
      </c>
      <c r="AF23" s="18">
        <f>'Monthly P&amp;L'!AF43</f>
        <v/>
      </c>
      <c r="AG23" s="18">
        <f>'Monthly P&amp;L'!AG43</f>
        <v/>
      </c>
      <c r="AH23" s="18">
        <f>'Monthly P&amp;L'!AH43</f>
        <v/>
      </c>
      <c r="AI23" s="18">
        <f>'Monthly P&amp;L'!AI43</f>
        <v/>
      </c>
      <c r="AJ23" s="18">
        <f>'Monthly P&amp;L'!AJ43</f>
        <v/>
      </c>
      <c r="AK23" s="18">
        <f>'Monthly P&amp;L'!AK43</f>
        <v/>
      </c>
      <c r="AL23" s="18">
        <f>'Monthly P&amp;L'!AL43</f>
        <v/>
      </c>
      <c r="AM23" s="18">
        <f>'Monthly P&amp;L'!AM43</f>
        <v/>
      </c>
      <c r="AN23" s="18">
        <f>'Monthly P&amp;L'!AN43</f>
        <v/>
      </c>
      <c r="AO23" s="18">
        <f>'Monthly P&amp;L'!AO43</f>
        <v/>
      </c>
      <c r="AP23" s="18">
        <f>'Monthly P&amp;L'!AP43</f>
        <v/>
      </c>
      <c r="AQ23" s="18">
        <f>'Monthly P&amp;L'!AQ43</f>
        <v/>
      </c>
      <c r="AR23" s="18">
        <f>'Monthly P&amp;L'!AR43</f>
        <v/>
      </c>
      <c r="AS23" s="18">
        <f>'Monthly P&amp;L'!AS43</f>
        <v/>
      </c>
      <c r="AT23" s="18">
        <f>'Monthly P&amp;L'!AT43</f>
        <v/>
      </c>
      <c r="AU23" s="18">
        <f>'Monthly P&amp;L'!AU43</f>
        <v/>
      </c>
      <c r="AV23" s="18">
        <f>'Monthly P&amp;L'!AV43</f>
        <v/>
      </c>
      <c r="AW23" s="18">
        <f>'Monthly P&amp;L'!AW43</f>
        <v/>
      </c>
      <c r="AX23" s="18">
        <f>'Monthly P&amp;L'!AX43</f>
        <v/>
      </c>
      <c r="AY23" s="18">
        <f>'Monthly P&amp;L'!AY43</f>
        <v/>
      </c>
      <c r="AZ23" s="18">
        <f>'Monthly P&amp;L'!AZ43</f>
        <v/>
      </c>
      <c r="BA23" s="18">
        <f>'Monthly P&amp;L'!BA43</f>
        <v/>
      </c>
    </row>
    <row r="24">
      <c r="A24" s="3" t="inlineStr">
        <is>
          <t xml:space="preserve">  OpenAI Codex Pro ($200)</t>
        </is>
      </c>
      <c r="B24" s="18">
        <f>'Monthly P&amp;L'!B44</f>
        <v/>
      </c>
      <c r="C24" s="18">
        <f>'Monthly P&amp;L'!C44</f>
        <v/>
      </c>
      <c r="D24" s="18">
        <f>'Monthly P&amp;L'!D44</f>
        <v/>
      </c>
      <c r="E24" s="18">
        <f>'Monthly P&amp;L'!E44</f>
        <v/>
      </c>
      <c r="F24" s="18">
        <f>'Monthly P&amp;L'!F44</f>
        <v/>
      </c>
      <c r="G24" s="18">
        <f>'Monthly P&amp;L'!G44</f>
        <v/>
      </c>
      <c r="H24" s="18">
        <f>'Monthly P&amp;L'!H44</f>
        <v/>
      </c>
      <c r="I24" s="18">
        <f>'Monthly P&amp;L'!I44</f>
        <v/>
      </c>
      <c r="J24" s="18">
        <f>'Monthly P&amp;L'!J44</f>
        <v/>
      </c>
      <c r="K24" s="18">
        <f>'Monthly P&amp;L'!K44</f>
        <v/>
      </c>
      <c r="L24" s="18">
        <f>'Monthly P&amp;L'!L44</f>
        <v/>
      </c>
      <c r="M24" s="18">
        <f>'Monthly P&amp;L'!M44</f>
        <v/>
      </c>
      <c r="N24" s="18">
        <f>'Monthly P&amp;L'!N44</f>
        <v/>
      </c>
      <c r="O24" s="18">
        <f>'Monthly P&amp;L'!O44</f>
        <v/>
      </c>
      <c r="P24" s="18">
        <f>'Monthly P&amp;L'!P44</f>
        <v/>
      </c>
      <c r="Q24" s="18">
        <f>'Monthly P&amp;L'!Q44</f>
        <v/>
      </c>
      <c r="R24" s="18">
        <f>'Monthly P&amp;L'!R44</f>
        <v/>
      </c>
      <c r="S24" s="18">
        <f>'Monthly P&amp;L'!S44</f>
        <v/>
      </c>
      <c r="T24" s="18">
        <f>'Monthly P&amp;L'!T44</f>
        <v/>
      </c>
      <c r="U24" s="18">
        <f>'Monthly P&amp;L'!U44</f>
        <v/>
      </c>
      <c r="V24" s="18">
        <f>'Monthly P&amp;L'!V44</f>
        <v/>
      </c>
      <c r="W24" s="18">
        <f>'Monthly P&amp;L'!W44</f>
        <v/>
      </c>
      <c r="X24" s="18">
        <f>'Monthly P&amp;L'!X44</f>
        <v/>
      </c>
      <c r="Y24" s="18">
        <f>'Monthly P&amp;L'!Y44</f>
        <v/>
      </c>
      <c r="Z24" s="18">
        <f>'Monthly P&amp;L'!Z44</f>
        <v/>
      </c>
      <c r="AA24" s="18">
        <f>'Monthly P&amp;L'!AA44</f>
        <v/>
      </c>
      <c r="AB24" s="18">
        <f>'Monthly P&amp;L'!AB44</f>
        <v/>
      </c>
      <c r="AC24" s="18">
        <f>'Monthly P&amp;L'!AC44</f>
        <v/>
      </c>
      <c r="AD24" s="18">
        <f>'Monthly P&amp;L'!AD44</f>
        <v/>
      </c>
      <c r="AE24" s="18">
        <f>'Monthly P&amp;L'!AE44</f>
        <v/>
      </c>
      <c r="AF24" s="18">
        <f>'Monthly P&amp;L'!AF44</f>
        <v/>
      </c>
      <c r="AG24" s="18">
        <f>'Monthly P&amp;L'!AG44</f>
        <v/>
      </c>
      <c r="AH24" s="18">
        <f>'Monthly P&amp;L'!AH44</f>
        <v/>
      </c>
      <c r="AI24" s="18">
        <f>'Monthly P&amp;L'!AI44</f>
        <v/>
      </c>
      <c r="AJ24" s="18">
        <f>'Monthly P&amp;L'!AJ44</f>
        <v/>
      </c>
      <c r="AK24" s="18">
        <f>'Monthly P&amp;L'!AK44</f>
        <v/>
      </c>
      <c r="AL24" s="18">
        <f>'Monthly P&amp;L'!AL44</f>
        <v/>
      </c>
      <c r="AM24" s="18">
        <f>'Monthly P&amp;L'!AM44</f>
        <v/>
      </c>
      <c r="AN24" s="18">
        <f>'Monthly P&amp;L'!AN44</f>
        <v/>
      </c>
      <c r="AO24" s="18">
        <f>'Monthly P&amp;L'!AO44</f>
        <v/>
      </c>
      <c r="AP24" s="18">
        <f>'Monthly P&amp;L'!AP44</f>
        <v/>
      </c>
      <c r="AQ24" s="18">
        <f>'Monthly P&amp;L'!AQ44</f>
        <v/>
      </c>
      <c r="AR24" s="18">
        <f>'Monthly P&amp;L'!AR44</f>
        <v/>
      </c>
      <c r="AS24" s="18">
        <f>'Monthly P&amp;L'!AS44</f>
        <v/>
      </c>
      <c r="AT24" s="18">
        <f>'Monthly P&amp;L'!AT44</f>
        <v/>
      </c>
      <c r="AU24" s="18">
        <f>'Monthly P&amp;L'!AU44</f>
        <v/>
      </c>
      <c r="AV24" s="18">
        <f>'Monthly P&amp;L'!AV44</f>
        <v/>
      </c>
      <c r="AW24" s="18">
        <f>'Monthly P&amp;L'!AW44</f>
        <v/>
      </c>
      <c r="AX24" s="18">
        <f>'Monthly P&amp;L'!AX44</f>
        <v/>
      </c>
      <c r="AY24" s="18">
        <f>'Monthly P&amp;L'!AY44</f>
        <v/>
      </c>
      <c r="AZ24" s="18">
        <f>'Monthly P&amp;L'!AZ44</f>
        <v/>
      </c>
      <c r="BA24" s="18">
        <f>'Monthly P&amp;L'!BA44</f>
        <v/>
      </c>
    </row>
    <row r="25">
      <c r="A25" s="3" t="inlineStr">
        <is>
          <t xml:space="preserve">  Perplexity Max ($200)</t>
        </is>
      </c>
      <c r="B25" s="18">
        <f>'Monthly P&amp;L'!B45</f>
        <v/>
      </c>
      <c r="C25" s="18">
        <f>'Monthly P&amp;L'!C45</f>
        <v/>
      </c>
      <c r="D25" s="18">
        <f>'Monthly P&amp;L'!D45</f>
        <v/>
      </c>
      <c r="E25" s="18">
        <f>'Monthly P&amp;L'!E45</f>
        <v/>
      </c>
      <c r="F25" s="18">
        <f>'Monthly P&amp;L'!F45</f>
        <v/>
      </c>
      <c r="G25" s="18">
        <f>'Monthly P&amp;L'!G45</f>
        <v/>
      </c>
      <c r="H25" s="18">
        <f>'Monthly P&amp;L'!H45</f>
        <v/>
      </c>
      <c r="I25" s="18">
        <f>'Monthly P&amp;L'!I45</f>
        <v/>
      </c>
      <c r="J25" s="18">
        <f>'Monthly P&amp;L'!J45</f>
        <v/>
      </c>
      <c r="K25" s="18">
        <f>'Monthly P&amp;L'!K45</f>
        <v/>
      </c>
      <c r="L25" s="18">
        <f>'Monthly P&amp;L'!L45</f>
        <v/>
      </c>
      <c r="M25" s="18">
        <f>'Monthly P&amp;L'!M45</f>
        <v/>
      </c>
      <c r="N25" s="18">
        <f>'Monthly P&amp;L'!N45</f>
        <v/>
      </c>
      <c r="O25" s="18">
        <f>'Monthly P&amp;L'!O45</f>
        <v/>
      </c>
      <c r="P25" s="18">
        <f>'Monthly P&amp;L'!P45</f>
        <v/>
      </c>
      <c r="Q25" s="18">
        <f>'Monthly P&amp;L'!Q45</f>
        <v/>
      </c>
      <c r="R25" s="18">
        <f>'Monthly P&amp;L'!R45</f>
        <v/>
      </c>
      <c r="S25" s="18">
        <f>'Monthly P&amp;L'!S45</f>
        <v/>
      </c>
      <c r="T25" s="18">
        <f>'Monthly P&amp;L'!T45</f>
        <v/>
      </c>
      <c r="U25" s="18">
        <f>'Monthly P&amp;L'!U45</f>
        <v/>
      </c>
      <c r="V25" s="18">
        <f>'Monthly P&amp;L'!V45</f>
        <v/>
      </c>
      <c r="W25" s="18">
        <f>'Monthly P&amp;L'!W45</f>
        <v/>
      </c>
      <c r="X25" s="18">
        <f>'Monthly P&amp;L'!X45</f>
        <v/>
      </c>
      <c r="Y25" s="18">
        <f>'Monthly P&amp;L'!Y45</f>
        <v/>
      </c>
      <c r="Z25" s="18">
        <f>'Monthly P&amp;L'!Z45</f>
        <v/>
      </c>
      <c r="AA25" s="18">
        <f>'Monthly P&amp;L'!AA45</f>
        <v/>
      </c>
      <c r="AB25" s="18">
        <f>'Monthly P&amp;L'!AB45</f>
        <v/>
      </c>
      <c r="AC25" s="18">
        <f>'Monthly P&amp;L'!AC45</f>
        <v/>
      </c>
      <c r="AD25" s="18">
        <f>'Monthly P&amp;L'!AD45</f>
        <v/>
      </c>
      <c r="AE25" s="18">
        <f>'Monthly P&amp;L'!AE45</f>
        <v/>
      </c>
      <c r="AF25" s="18">
        <f>'Monthly P&amp;L'!AF45</f>
        <v/>
      </c>
      <c r="AG25" s="18">
        <f>'Monthly P&amp;L'!AG45</f>
        <v/>
      </c>
      <c r="AH25" s="18">
        <f>'Monthly P&amp;L'!AH45</f>
        <v/>
      </c>
      <c r="AI25" s="18">
        <f>'Monthly P&amp;L'!AI45</f>
        <v/>
      </c>
      <c r="AJ25" s="18">
        <f>'Monthly P&amp;L'!AJ45</f>
        <v/>
      </c>
      <c r="AK25" s="18">
        <f>'Monthly P&amp;L'!AK45</f>
        <v/>
      </c>
      <c r="AL25" s="18">
        <f>'Monthly P&amp;L'!AL45</f>
        <v/>
      </c>
      <c r="AM25" s="18">
        <f>'Monthly P&amp;L'!AM45</f>
        <v/>
      </c>
      <c r="AN25" s="18">
        <f>'Monthly P&amp;L'!AN45</f>
        <v/>
      </c>
      <c r="AO25" s="18">
        <f>'Monthly P&amp;L'!AO45</f>
        <v/>
      </c>
      <c r="AP25" s="18">
        <f>'Monthly P&amp;L'!AP45</f>
        <v/>
      </c>
      <c r="AQ25" s="18">
        <f>'Monthly P&amp;L'!AQ45</f>
        <v/>
      </c>
      <c r="AR25" s="18">
        <f>'Monthly P&amp;L'!AR45</f>
        <v/>
      </c>
      <c r="AS25" s="18">
        <f>'Monthly P&amp;L'!AS45</f>
        <v/>
      </c>
      <c r="AT25" s="18">
        <f>'Monthly P&amp;L'!AT45</f>
        <v/>
      </c>
      <c r="AU25" s="18">
        <f>'Monthly P&amp;L'!AU45</f>
        <v/>
      </c>
      <c r="AV25" s="18">
        <f>'Monthly P&amp;L'!AV45</f>
        <v/>
      </c>
      <c r="AW25" s="18">
        <f>'Monthly P&amp;L'!AW45</f>
        <v/>
      </c>
      <c r="AX25" s="18">
        <f>'Monthly P&amp;L'!AX45</f>
        <v/>
      </c>
      <c r="AY25" s="18">
        <f>'Monthly P&amp;L'!AY45</f>
        <v/>
      </c>
      <c r="AZ25" s="18">
        <f>'Monthly P&amp;L'!AZ45</f>
        <v/>
      </c>
      <c r="BA25" s="18">
        <f>'Monthly P&amp;L'!BA45</f>
        <v/>
      </c>
    </row>
    <row r="26">
      <c r="A26" s="5" t="inlineStr">
        <is>
          <t xml:space="preserve">  — Infrastructure (SaaS)</t>
        </is>
      </c>
    </row>
    <row r="27">
      <c r="A27" s="3" t="inlineStr">
        <is>
          <t xml:space="preserve">  Supabase Pro + compute</t>
        </is>
      </c>
      <c r="B27" s="18">
        <f>'Monthly P&amp;L'!B47</f>
        <v/>
      </c>
      <c r="C27" s="18">
        <f>'Monthly P&amp;L'!C47</f>
        <v/>
      </c>
      <c r="D27" s="18">
        <f>'Monthly P&amp;L'!D47</f>
        <v/>
      </c>
      <c r="E27" s="18">
        <f>'Monthly P&amp;L'!E47</f>
        <v/>
      </c>
      <c r="F27" s="18">
        <f>'Monthly P&amp;L'!F47</f>
        <v/>
      </c>
      <c r="G27" s="18">
        <f>'Monthly P&amp;L'!G47</f>
        <v/>
      </c>
      <c r="H27" s="18">
        <f>'Monthly P&amp;L'!H47</f>
        <v/>
      </c>
      <c r="I27" s="18">
        <f>'Monthly P&amp;L'!I47</f>
        <v/>
      </c>
      <c r="J27" s="18">
        <f>'Monthly P&amp;L'!J47</f>
        <v/>
      </c>
      <c r="K27" s="18">
        <f>'Monthly P&amp;L'!K47</f>
        <v/>
      </c>
      <c r="L27" s="18">
        <f>'Monthly P&amp;L'!L47</f>
        <v/>
      </c>
      <c r="M27" s="18">
        <f>'Monthly P&amp;L'!M47</f>
        <v/>
      </c>
      <c r="N27" s="18">
        <f>'Monthly P&amp;L'!N47</f>
        <v/>
      </c>
      <c r="O27" s="18">
        <f>'Monthly P&amp;L'!O47</f>
        <v/>
      </c>
      <c r="P27" s="18">
        <f>'Monthly P&amp;L'!P47</f>
        <v/>
      </c>
      <c r="Q27" s="18">
        <f>'Monthly P&amp;L'!Q47</f>
        <v/>
      </c>
      <c r="R27" s="18">
        <f>'Monthly P&amp;L'!R47</f>
        <v/>
      </c>
      <c r="S27" s="18">
        <f>'Monthly P&amp;L'!S47</f>
        <v/>
      </c>
      <c r="T27" s="18">
        <f>'Monthly P&amp;L'!T47</f>
        <v/>
      </c>
      <c r="U27" s="18">
        <f>'Monthly P&amp;L'!U47</f>
        <v/>
      </c>
      <c r="V27" s="18">
        <f>'Monthly P&amp;L'!V47</f>
        <v/>
      </c>
      <c r="W27" s="18">
        <f>'Monthly P&amp;L'!W47</f>
        <v/>
      </c>
      <c r="X27" s="18">
        <f>'Monthly P&amp;L'!X47</f>
        <v/>
      </c>
      <c r="Y27" s="18">
        <f>'Monthly P&amp;L'!Y47</f>
        <v/>
      </c>
      <c r="Z27" s="18">
        <f>'Monthly P&amp;L'!Z47</f>
        <v/>
      </c>
      <c r="AA27" s="18">
        <f>'Monthly P&amp;L'!AA47</f>
        <v/>
      </c>
      <c r="AB27" s="18">
        <f>'Monthly P&amp;L'!AB47</f>
        <v/>
      </c>
      <c r="AC27" s="18">
        <f>'Monthly P&amp;L'!AC47</f>
        <v/>
      </c>
      <c r="AD27" s="18">
        <f>'Monthly P&amp;L'!AD47</f>
        <v/>
      </c>
      <c r="AE27" s="18">
        <f>'Monthly P&amp;L'!AE47</f>
        <v/>
      </c>
      <c r="AF27" s="18">
        <f>'Monthly P&amp;L'!AF47</f>
        <v/>
      </c>
      <c r="AG27" s="18">
        <f>'Monthly P&amp;L'!AG47</f>
        <v/>
      </c>
      <c r="AH27" s="18">
        <f>'Monthly P&amp;L'!AH47</f>
        <v/>
      </c>
      <c r="AI27" s="18">
        <f>'Monthly P&amp;L'!AI47</f>
        <v/>
      </c>
      <c r="AJ27" s="18">
        <f>'Monthly P&amp;L'!AJ47</f>
        <v/>
      </c>
      <c r="AK27" s="18">
        <f>'Monthly P&amp;L'!AK47</f>
        <v/>
      </c>
      <c r="AL27" s="18">
        <f>'Monthly P&amp;L'!AL47</f>
        <v/>
      </c>
      <c r="AM27" s="18">
        <f>'Monthly P&amp;L'!AM47</f>
        <v/>
      </c>
      <c r="AN27" s="18">
        <f>'Monthly P&amp;L'!AN47</f>
        <v/>
      </c>
      <c r="AO27" s="18">
        <f>'Monthly P&amp;L'!AO47</f>
        <v/>
      </c>
      <c r="AP27" s="18">
        <f>'Monthly P&amp;L'!AP47</f>
        <v/>
      </c>
      <c r="AQ27" s="18">
        <f>'Monthly P&amp;L'!AQ47</f>
        <v/>
      </c>
      <c r="AR27" s="18">
        <f>'Monthly P&amp;L'!AR47</f>
        <v/>
      </c>
      <c r="AS27" s="18">
        <f>'Monthly P&amp;L'!AS47</f>
        <v/>
      </c>
      <c r="AT27" s="18">
        <f>'Monthly P&amp;L'!AT47</f>
        <v/>
      </c>
      <c r="AU27" s="18">
        <f>'Monthly P&amp;L'!AU47</f>
        <v/>
      </c>
      <c r="AV27" s="18">
        <f>'Monthly P&amp;L'!AV47</f>
        <v/>
      </c>
      <c r="AW27" s="18">
        <f>'Monthly P&amp;L'!AW47</f>
        <v/>
      </c>
      <c r="AX27" s="18">
        <f>'Monthly P&amp;L'!AX47</f>
        <v/>
      </c>
      <c r="AY27" s="18">
        <f>'Monthly P&amp;L'!AY47</f>
        <v/>
      </c>
      <c r="AZ27" s="18">
        <f>'Monthly P&amp;L'!AZ47</f>
        <v/>
      </c>
      <c r="BA27" s="18">
        <f>'Monthly P&amp;L'!BA47</f>
        <v/>
      </c>
    </row>
    <row r="28">
      <c r="A28" s="3" t="inlineStr">
        <is>
          <t xml:space="preserve">  Vercel Pro</t>
        </is>
      </c>
      <c r="B28" s="18">
        <f>'Monthly P&amp;L'!B48</f>
        <v/>
      </c>
      <c r="C28" s="18">
        <f>'Monthly P&amp;L'!C48</f>
        <v/>
      </c>
      <c r="D28" s="18">
        <f>'Monthly P&amp;L'!D48</f>
        <v/>
      </c>
      <c r="E28" s="18">
        <f>'Monthly P&amp;L'!E48</f>
        <v/>
      </c>
      <c r="F28" s="18">
        <f>'Monthly P&amp;L'!F48</f>
        <v/>
      </c>
      <c r="G28" s="18">
        <f>'Monthly P&amp;L'!G48</f>
        <v/>
      </c>
      <c r="H28" s="18">
        <f>'Monthly P&amp;L'!H48</f>
        <v/>
      </c>
      <c r="I28" s="18">
        <f>'Monthly P&amp;L'!I48</f>
        <v/>
      </c>
      <c r="J28" s="18">
        <f>'Monthly P&amp;L'!J48</f>
        <v/>
      </c>
      <c r="K28" s="18">
        <f>'Monthly P&amp;L'!K48</f>
        <v/>
      </c>
      <c r="L28" s="18">
        <f>'Monthly P&amp;L'!L48</f>
        <v/>
      </c>
      <c r="M28" s="18">
        <f>'Monthly P&amp;L'!M48</f>
        <v/>
      </c>
      <c r="N28" s="18">
        <f>'Monthly P&amp;L'!N48</f>
        <v/>
      </c>
      <c r="O28" s="18">
        <f>'Monthly P&amp;L'!O48</f>
        <v/>
      </c>
      <c r="P28" s="18">
        <f>'Monthly P&amp;L'!P48</f>
        <v/>
      </c>
      <c r="Q28" s="18">
        <f>'Monthly P&amp;L'!Q48</f>
        <v/>
      </c>
      <c r="R28" s="18">
        <f>'Monthly P&amp;L'!R48</f>
        <v/>
      </c>
      <c r="S28" s="18">
        <f>'Monthly P&amp;L'!S48</f>
        <v/>
      </c>
      <c r="T28" s="18">
        <f>'Monthly P&amp;L'!T48</f>
        <v/>
      </c>
      <c r="U28" s="18">
        <f>'Monthly P&amp;L'!U48</f>
        <v/>
      </c>
      <c r="V28" s="18">
        <f>'Monthly P&amp;L'!V48</f>
        <v/>
      </c>
      <c r="W28" s="18">
        <f>'Monthly P&amp;L'!W48</f>
        <v/>
      </c>
      <c r="X28" s="18">
        <f>'Monthly P&amp;L'!X48</f>
        <v/>
      </c>
      <c r="Y28" s="18">
        <f>'Monthly P&amp;L'!Y48</f>
        <v/>
      </c>
      <c r="Z28" s="18">
        <f>'Monthly P&amp;L'!Z48</f>
        <v/>
      </c>
      <c r="AA28" s="18">
        <f>'Monthly P&amp;L'!AA48</f>
        <v/>
      </c>
      <c r="AB28" s="18">
        <f>'Monthly P&amp;L'!AB48</f>
        <v/>
      </c>
      <c r="AC28" s="18">
        <f>'Monthly P&amp;L'!AC48</f>
        <v/>
      </c>
      <c r="AD28" s="18">
        <f>'Monthly P&amp;L'!AD48</f>
        <v/>
      </c>
      <c r="AE28" s="18">
        <f>'Monthly P&amp;L'!AE48</f>
        <v/>
      </c>
      <c r="AF28" s="18">
        <f>'Monthly P&amp;L'!AF48</f>
        <v/>
      </c>
      <c r="AG28" s="18">
        <f>'Monthly P&amp;L'!AG48</f>
        <v/>
      </c>
      <c r="AH28" s="18">
        <f>'Monthly P&amp;L'!AH48</f>
        <v/>
      </c>
      <c r="AI28" s="18">
        <f>'Monthly P&amp;L'!AI48</f>
        <v/>
      </c>
      <c r="AJ28" s="18">
        <f>'Monthly P&amp;L'!AJ48</f>
        <v/>
      </c>
      <c r="AK28" s="18">
        <f>'Monthly P&amp;L'!AK48</f>
        <v/>
      </c>
      <c r="AL28" s="18">
        <f>'Monthly P&amp;L'!AL48</f>
        <v/>
      </c>
      <c r="AM28" s="18">
        <f>'Monthly P&amp;L'!AM48</f>
        <v/>
      </c>
      <c r="AN28" s="18">
        <f>'Monthly P&amp;L'!AN48</f>
        <v/>
      </c>
      <c r="AO28" s="18">
        <f>'Monthly P&amp;L'!AO48</f>
        <v/>
      </c>
      <c r="AP28" s="18">
        <f>'Monthly P&amp;L'!AP48</f>
        <v/>
      </c>
      <c r="AQ28" s="18">
        <f>'Monthly P&amp;L'!AQ48</f>
        <v/>
      </c>
      <c r="AR28" s="18">
        <f>'Monthly P&amp;L'!AR48</f>
        <v/>
      </c>
      <c r="AS28" s="18">
        <f>'Monthly P&amp;L'!AS48</f>
        <v/>
      </c>
      <c r="AT28" s="18">
        <f>'Monthly P&amp;L'!AT48</f>
        <v/>
      </c>
      <c r="AU28" s="18">
        <f>'Monthly P&amp;L'!AU48</f>
        <v/>
      </c>
      <c r="AV28" s="18">
        <f>'Monthly P&amp;L'!AV48</f>
        <v/>
      </c>
      <c r="AW28" s="18">
        <f>'Monthly P&amp;L'!AW48</f>
        <v/>
      </c>
      <c r="AX28" s="18">
        <f>'Monthly P&amp;L'!AX48</f>
        <v/>
      </c>
      <c r="AY28" s="18">
        <f>'Monthly P&amp;L'!AY48</f>
        <v/>
      </c>
      <c r="AZ28" s="18">
        <f>'Monthly P&amp;L'!AZ48</f>
        <v/>
      </c>
      <c r="BA28" s="18">
        <f>'Monthly P&amp;L'!BA48</f>
        <v/>
      </c>
    </row>
    <row r="29">
      <c r="A29" s="3" t="inlineStr">
        <is>
          <t xml:space="preserve">  DataForSEO usage</t>
        </is>
      </c>
      <c r="B29" s="18">
        <f>'Monthly P&amp;L'!B49</f>
        <v/>
      </c>
      <c r="C29" s="18">
        <f>'Monthly P&amp;L'!C49</f>
        <v/>
      </c>
      <c r="D29" s="18">
        <f>'Monthly P&amp;L'!D49</f>
        <v/>
      </c>
      <c r="E29" s="18">
        <f>'Monthly P&amp;L'!E49</f>
        <v/>
      </c>
      <c r="F29" s="18">
        <f>'Monthly P&amp;L'!F49</f>
        <v/>
      </c>
      <c r="G29" s="18">
        <f>'Monthly P&amp;L'!G49</f>
        <v/>
      </c>
      <c r="H29" s="18">
        <f>'Monthly P&amp;L'!H49</f>
        <v/>
      </c>
      <c r="I29" s="18">
        <f>'Monthly P&amp;L'!I49</f>
        <v/>
      </c>
      <c r="J29" s="18">
        <f>'Monthly P&amp;L'!J49</f>
        <v/>
      </c>
      <c r="K29" s="18">
        <f>'Monthly P&amp;L'!K49</f>
        <v/>
      </c>
      <c r="L29" s="18">
        <f>'Monthly P&amp;L'!L49</f>
        <v/>
      </c>
      <c r="M29" s="18">
        <f>'Monthly P&amp;L'!M49</f>
        <v/>
      </c>
      <c r="N29" s="18">
        <f>'Monthly P&amp;L'!N49</f>
        <v/>
      </c>
      <c r="O29" s="18">
        <f>'Monthly P&amp;L'!O49</f>
        <v/>
      </c>
      <c r="P29" s="18">
        <f>'Monthly P&amp;L'!P49</f>
        <v/>
      </c>
      <c r="Q29" s="18">
        <f>'Monthly P&amp;L'!Q49</f>
        <v/>
      </c>
      <c r="R29" s="18">
        <f>'Monthly P&amp;L'!R49</f>
        <v/>
      </c>
      <c r="S29" s="18">
        <f>'Monthly P&amp;L'!S49</f>
        <v/>
      </c>
      <c r="T29" s="18">
        <f>'Monthly P&amp;L'!T49</f>
        <v/>
      </c>
      <c r="U29" s="18">
        <f>'Monthly P&amp;L'!U49</f>
        <v/>
      </c>
      <c r="V29" s="18">
        <f>'Monthly P&amp;L'!V49</f>
        <v/>
      </c>
      <c r="W29" s="18">
        <f>'Monthly P&amp;L'!W49</f>
        <v/>
      </c>
      <c r="X29" s="18">
        <f>'Monthly P&amp;L'!X49</f>
        <v/>
      </c>
      <c r="Y29" s="18">
        <f>'Monthly P&amp;L'!Y49</f>
        <v/>
      </c>
      <c r="Z29" s="18">
        <f>'Monthly P&amp;L'!Z49</f>
        <v/>
      </c>
      <c r="AA29" s="18">
        <f>'Monthly P&amp;L'!AA49</f>
        <v/>
      </c>
      <c r="AB29" s="18">
        <f>'Monthly P&amp;L'!AB49</f>
        <v/>
      </c>
      <c r="AC29" s="18">
        <f>'Monthly P&amp;L'!AC49</f>
        <v/>
      </c>
      <c r="AD29" s="18">
        <f>'Monthly P&amp;L'!AD49</f>
        <v/>
      </c>
      <c r="AE29" s="18">
        <f>'Monthly P&amp;L'!AE49</f>
        <v/>
      </c>
      <c r="AF29" s="18">
        <f>'Monthly P&amp;L'!AF49</f>
        <v/>
      </c>
      <c r="AG29" s="18">
        <f>'Monthly P&amp;L'!AG49</f>
        <v/>
      </c>
      <c r="AH29" s="18">
        <f>'Monthly P&amp;L'!AH49</f>
        <v/>
      </c>
      <c r="AI29" s="18">
        <f>'Monthly P&amp;L'!AI49</f>
        <v/>
      </c>
      <c r="AJ29" s="18">
        <f>'Monthly P&amp;L'!AJ49</f>
        <v/>
      </c>
      <c r="AK29" s="18">
        <f>'Monthly P&amp;L'!AK49</f>
        <v/>
      </c>
      <c r="AL29" s="18">
        <f>'Monthly P&amp;L'!AL49</f>
        <v/>
      </c>
      <c r="AM29" s="18">
        <f>'Monthly P&amp;L'!AM49</f>
        <v/>
      </c>
      <c r="AN29" s="18">
        <f>'Monthly P&amp;L'!AN49</f>
        <v/>
      </c>
      <c r="AO29" s="18">
        <f>'Monthly P&amp;L'!AO49</f>
        <v/>
      </c>
      <c r="AP29" s="18">
        <f>'Monthly P&amp;L'!AP49</f>
        <v/>
      </c>
      <c r="AQ29" s="18">
        <f>'Monthly P&amp;L'!AQ49</f>
        <v/>
      </c>
      <c r="AR29" s="18">
        <f>'Monthly P&amp;L'!AR49</f>
        <v/>
      </c>
      <c r="AS29" s="18">
        <f>'Monthly P&amp;L'!AS49</f>
        <v/>
      </c>
      <c r="AT29" s="18">
        <f>'Monthly P&amp;L'!AT49</f>
        <v/>
      </c>
      <c r="AU29" s="18">
        <f>'Monthly P&amp;L'!AU49</f>
        <v/>
      </c>
      <c r="AV29" s="18">
        <f>'Monthly P&amp;L'!AV49</f>
        <v/>
      </c>
      <c r="AW29" s="18">
        <f>'Monthly P&amp;L'!AW49</f>
        <v/>
      </c>
      <c r="AX29" s="18">
        <f>'Monthly P&amp;L'!AX49</f>
        <v/>
      </c>
      <c r="AY29" s="18">
        <f>'Monthly P&amp;L'!AY49</f>
        <v/>
      </c>
      <c r="AZ29" s="18">
        <f>'Monthly P&amp;L'!AZ49</f>
        <v/>
      </c>
      <c r="BA29" s="18">
        <f>'Monthly P&amp;L'!BA49</f>
        <v/>
      </c>
    </row>
    <row r="30">
      <c r="A30" s="3" t="inlineStr">
        <is>
          <t xml:space="preserve">  SerpApi Developer</t>
        </is>
      </c>
      <c r="B30" s="18">
        <f>'Monthly P&amp;L'!B50</f>
        <v/>
      </c>
      <c r="C30" s="18">
        <f>'Monthly P&amp;L'!C50</f>
        <v/>
      </c>
      <c r="D30" s="18">
        <f>'Monthly P&amp;L'!D50</f>
        <v/>
      </c>
      <c r="E30" s="18">
        <f>'Monthly P&amp;L'!E50</f>
        <v/>
      </c>
      <c r="F30" s="18">
        <f>'Monthly P&amp;L'!F50</f>
        <v/>
      </c>
      <c r="G30" s="18">
        <f>'Monthly P&amp;L'!G50</f>
        <v/>
      </c>
      <c r="H30" s="18">
        <f>'Monthly P&amp;L'!H50</f>
        <v/>
      </c>
      <c r="I30" s="18">
        <f>'Monthly P&amp;L'!I50</f>
        <v/>
      </c>
      <c r="J30" s="18">
        <f>'Monthly P&amp;L'!J50</f>
        <v/>
      </c>
      <c r="K30" s="18">
        <f>'Monthly P&amp;L'!K50</f>
        <v/>
      </c>
      <c r="L30" s="18">
        <f>'Monthly P&amp;L'!L50</f>
        <v/>
      </c>
      <c r="M30" s="18">
        <f>'Monthly P&amp;L'!M50</f>
        <v/>
      </c>
      <c r="N30" s="18">
        <f>'Monthly P&amp;L'!N50</f>
        <v/>
      </c>
      <c r="O30" s="18">
        <f>'Monthly P&amp;L'!O50</f>
        <v/>
      </c>
      <c r="P30" s="18">
        <f>'Monthly P&amp;L'!P50</f>
        <v/>
      </c>
      <c r="Q30" s="18">
        <f>'Monthly P&amp;L'!Q50</f>
        <v/>
      </c>
      <c r="R30" s="18">
        <f>'Monthly P&amp;L'!R50</f>
        <v/>
      </c>
      <c r="S30" s="18">
        <f>'Monthly P&amp;L'!S50</f>
        <v/>
      </c>
      <c r="T30" s="18">
        <f>'Monthly P&amp;L'!T50</f>
        <v/>
      </c>
      <c r="U30" s="18">
        <f>'Monthly P&amp;L'!U50</f>
        <v/>
      </c>
      <c r="V30" s="18">
        <f>'Monthly P&amp;L'!V50</f>
        <v/>
      </c>
      <c r="W30" s="18">
        <f>'Monthly P&amp;L'!W50</f>
        <v/>
      </c>
      <c r="X30" s="18">
        <f>'Monthly P&amp;L'!X50</f>
        <v/>
      </c>
      <c r="Y30" s="18">
        <f>'Monthly P&amp;L'!Y50</f>
        <v/>
      </c>
      <c r="Z30" s="18">
        <f>'Monthly P&amp;L'!Z50</f>
        <v/>
      </c>
      <c r="AA30" s="18">
        <f>'Monthly P&amp;L'!AA50</f>
        <v/>
      </c>
      <c r="AB30" s="18">
        <f>'Monthly P&amp;L'!AB50</f>
        <v/>
      </c>
      <c r="AC30" s="18">
        <f>'Monthly P&amp;L'!AC50</f>
        <v/>
      </c>
      <c r="AD30" s="18">
        <f>'Monthly P&amp;L'!AD50</f>
        <v/>
      </c>
      <c r="AE30" s="18">
        <f>'Monthly P&amp;L'!AE50</f>
        <v/>
      </c>
      <c r="AF30" s="18">
        <f>'Monthly P&amp;L'!AF50</f>
        <v/>
      </c>
      <c r="AG30" s="18">
        <f>'Monthly P&amp;L'!AG50</f>
        <v/>
      </c>
      <c r="AH30" s="18">
        <f>'Monthly P&amp;L'!AH50</f>
        <v/>
      </c>
      <c r="AI30" s="18">
        <f>'Monthly P&amp;L'!AI50</f>
        <v/>
      </c>
      <c r="AJ30" s="18">
        <f>'Monthly P&amp;L'!AJ50</f>
        <v/>
      </c>
      <c r="AK30" s="18">
        <f>'Monthly P&amp;L'!AK50</f>
        <v/>
      </c>
      <c r="AL30" s="18">
        <f>'Monthly P&amp;L'!AL50</f>
        <v/>
      </c>
      <c r="AM30" s="18">
        <f>'Monthly P&amp;L'!AM50</f>
        <v/>
      </c>
      <c r="AN30" s="18">
        <f>'Monthly P&amp;L'!AN50</f>
        <v/>
      </c>
      <c r="AO30" s="18">
        <f>'Monthly P&amp;L'!AO50</f>
        <v/>
      </c>
      <c r="AP30" s="18">
        <f>'Monthly P&amp;L'!AP50</f>
        <v/>
      </c>
      <c r="AQ30" s="18">
        <f>'Monthly P&amp;L'!AQ50</f>
        <v/>
      </c>
      <c r="AR30" s="18">
        <f>'Monthly P&amp;L'!AR50</f>
        <v/>
      </c>
      <c r="AS30" s="18">
        <f>'Monthly P&amp;L'!AS50</f>
        <v/>
      </c>
      <c r="AT30" s="18">
        <f>'Monthly P&amp;L'!AT50</f>
        <v/>
      </c>
      <c r="AU30" s="18">
        <f>'Monthly P&amp;L'!AU50</f>
        <v/>
      </c>
      <c r="AV30" s="18">
        <f>'Monthly P&amp;L'!AV50</f>
        <v/>
      </c>
      <c r="AW30" s="18">
        <f>'Monthly P&amp;L'!AW50</f>
        <v/>
      </c>
      <c r="AX30" s="18">
        <f>'Monthly P&amp;L'!AX50</f>
        <v/>
      </c>
      <c r="AY30" s="18">
        <f>'Monthly P&amp;L'!AY50</f>
        <v/>
      </c>
      <c r="AZ30" s="18">
        <f>'Monthly P&amp;L'!AZ50</f>
        <v/>
      </c>
      <c r="BA30" s="18">
        <f>'Monthly P&amp;L'!BA50</f>
        <v/>
      </c>
    </row>
    <row r="31">
      <c r="A31" s="3" t="inlineStr">
        <is>
          <t xml:space="preserve">  Firecrawl</t>
        </is>
      </c>
      <c r="B31" s="18">
        <f>'Monthly P&amp;L'!B51</f>
        <v/>
      </c>
      <c r="C31" s="18">
        <f>'Monthly P&amp;L'!C51</f>
        <v/>
      </c>
      <c r="D31" s="18">
        <f>'Monthly P&amp;L'!D51</f>
        <v/>
      </c>
      <c r="E31" s="18">
        <f>'Monthly P&amp;L'!E51</f>
        <v/>
      </c>
      <c r="F31" s="18">
        <f>'Monthly P&amp;L'!F51</f>
        <v/>
      </c>
      <c r="G31" s="18">
        <f>'Monthly P&amp;L'!G51</f>
        <v/>
      </c>
      <c r="H31" s="18">
        <f>'Monthly P&amp;L'!H51</f>
        <v/>
      </c>
      <c r="I31" s="18">
        <f>'Monthly P&amp;L'!I51</f>
        <v/>
      </c>
      <c r="J31" s="18">
        <f>'Monthly P&amp;L'!J51</f>
        <v/>
      </c>
      <c r="K31" s="18">
        <f>'Monthly P&amp;L'!K51</f>
        <v/>
      </c>
      <c r="L31" s="18">
        <f>'Monthly P&amp;L'!L51</f>
        <v/>
      </c>
      <c r="M31" s="18">
        <f>'Monthly P&amp;L'!M51</f>
        <v/>
      </c>
      <c r="N31" s="18">
        <f>'Monthly P&amp;L'!N51</f>
        <v/>
      </c>
      <c r="O31" s="18">
        <f>'Monthly P&amp;L'!O51</f>
        <v/>
      </c>
      <c r="P31" s="18">
        <f>'Monthly P&amp;L'!P51</f>
        <v/>
      </c>
      <c r="Q31" s="18">
        <f>'Monthly P&amp;L'!Q51</f>
        <v/>
      </c>
      <c r="R31" s="18">
        <f>'Monthly P&amp;L'!R51</f>
        <v/>
      </c>
      <c r="S31" s="18">
        <f>'Monthly P&amp;L'!S51</f>
        <v/>
      </c>
      <c r="T31" s="18">
        <f>'Monthly P&amp;L'!T51</f>
        <v/>
      </c>
      <c r="U31" s="18">
        <f>'Monthly P&amp;L'!U51</f>
        <v/>
      </c>
      <c r="V31" s="18">
        <f>'Monthly P&amp;L'!V51</f>
        <v/>
      </c>
      <c r="W31" s="18">
        <f>'Monthly P&amp;L'!W51</f>
        <v/>
      </c>
      <c r="X31" s="18">
        <f>'Monthly P&amp;L'!X51</f>
        <v/>
      </c>
      <c r="Y31" s="18">
        <f>'Monthly P&amp;L'!Y51</f>
        <v/>
      </c>
      <c r="Z31" s="18">
        <f>'Monthly P&amp;L'!Z51</f>
        <v/>
      </c>
      <c r="AA31" s="18">
        <f>'Monthly P&amp;L'!AA51</f>
        <v/>
      </c>
      <c r="AB31" s="18">
        <f>'Monthly P&amp;L'!AB51</f>
        <v/>
      </c>
      <c r="AC31" s="18">
        <f>'Monthly P&amp;L'!AC51</f>
        <v/>
      </c>
      <c r="AD31" s="18">
        <f>'Monthly P&amp;L'!AD51</f>
        <v/>
      </c>
      <c r="AE31" s="18">
        <f>'Monthly P&amp;L'!AE51</f>
        <v/>
      </c>
      <c r="AF31" s="18">
        <f>'Monthly P&amp;L'!AF51</f>
        <v/>
      </c>
      <c r="AG31" s="18">
        <f>'Monthly P&amp;L'!AG51</f>
        <v/>
      </c>
      <c r="AH31" s="18">
        <f>'Monthly P&amp;L'!AH51</f>
        <v/>
      </c>
      <c r="AI31" s="18">
        <f>'Monthly P&amp;L'!AI51</f>
        <v/>
      </c>
      <c r="AJ31" s="18">
        <f>'Monthly P&amp;L'!AJ51</f>
        <v/>
      </c>
      <c r="AK31" s="18">
        <f>'Monthly P&amp;L'!AK51</f>
        <v/>
      </c>
      <c r="AL31" s="18">
        <f>'Monthly P&amp;L'!AL51</f>
        <v/>
      </c>
      <c r="AM31" s="18">
        <f>'Monthly P&amp;L'!AM51</f>
        <v/>
      </c>
      <c r="AN31" s="18">
        <f>'Monthly P&amp;L'!AN51</f>
        <v/>
      </c>
      <c r="AO31" s="18">
        <f>'Monthly P&amp;L'!AO51</f>
        <v/>
      </c>
      <c r="AP31" s="18">
        <f>'Monthly P&amp;L'!AP51</f>
        <v/>
      </c>
      <c r="AQ31" s="18">
        <f>'Monthly P&amp;L'!AQ51</f>
        <v/>
      </c>
      <c r="AR31" s="18">
        <f>'Monthly P&amp;L'!AR51</f>
        <v/>
      </c>
      <c r="AS31" s="18">
        <f>'Monthly P&amp;L'!AS51</f>
        <v/>
      </c>
      <c r="AT31" s="18">
        <f>'Monthly P&amp;L'!AT51</f>
        <v/>
      </c>
      <c r="AU31" s="18">
        <f>'Monthly P&amp;L'!AU51</f>
        <v/>
      </c>
      <c r="AV31" s="18">
        <f>'Monthly P&amp;L'!AV51</f>
        <v/>
      </c>
      <c r="AW31" s="18">
        <f>'Monthly P&amp;L'!AW51</f>
        <v/>
      </c>
      <c r="AX31" s="18">
        <f>'Monthly P&amp;L'!AX51</f>
        <v/>
      </c>
      <c r="AY31" s="18">
        <f>'Monthly P&amp;L'!AY51</f>
        <v/>
      </c>
      <c r="AZ31" s="18">
        <f>'Monthly P&amp;L'!AZ51</f>
        <v/>
      </c>
      <c r="BA31" s="18">
        <f>'Monthly P&amp;L'!BA51</f>
        <v/>
      </c>
    </row>
    <row r="32">
      <c r="A32" s="3" t="inlineStr">
        <is>
          <t xml:space="preserve">  Google Workspace</t>
        </is>
      </c>
      <c r="B32" s="18">
        <f>'Monthly P&amp;L'!B52</f>
        <v/>
      </c>
      <c r="C32" s="18">
        <f>'Monthly P&amp;L'!C52</f>
        <v/>
      </c>
      <c r="D32" s="18">
        <f>'Monthly P&amp;L'!D52</f>
        <v/>
      </c>
      <c r="E32" s="18">
        <f>'Monthly P&amp;L'!E52</f>
        <v/>
      </c>
      <c r="F32" s="18">
        <f>'Monthly P&amp;L'!F52</f>
        <v/>
      </c>
      <c r="G32" s="18">
        <f>'Monthly P&amp;L'!G52</f>
        <v/>
      </c>
      <c r="H32" s="18">
        <f>'Monthly P&amp;L'!H52</f>
        <v/>
      </c>
      <c r="I32" s="18">
        <f>'Monthly P&amp;L'!I52</f>
        <v/>
      </c>
      <c r="J32" s="18">
        <f>'Monthly P&amp;L'!J52</f>
        <v/>
      </c>
      <c r="K32" s="18">
        <f>'Monthly P&amp;L'!K52</f>
        <v/>
      </c>
      <c r="L32" s="18">
        <f>'Monthly P&amp;L'!L52</f>
        <v/>
      </c>
      <c r="M32" s="18">
        <f>'Monthly P&amp;L'!M52</f>
        <v/>
      </c>
      <c r="N32" s="18">
        <f>'Monthly P&amp;L'!N52</f>
        <v/>
      </c>
      <c r="O32" s="18">
        <f>'Monthly P&amp;L'!O52</f>
        <v/>
      </c>
      <c r="P32" s="18">
        <f>'Monthly P&amp;L'!P52</f>
        <v/>
      </c>
      <c r="Q32" s="18">
        <f>'Monthly P&amp;L'!Q52</f>
        <v/>
      </c>
      <c r="R32" s="18">
        <f>'Monthly P&amp;L'!R52</f>
        <v/>
      </c>
      <c r="S32" s="18">
        <f>'Monthly P&amp;L'!S52</f>
        <v/>
      </c>
      <c r="T32" s="18">
        <f>'Monthly P&amp;L'!T52</f>
        <v/>
      </c>
      <c r="U32" s="18">
        <f>'Monthly P&amp;L'!U52</f>
        <v/>
      </c>
      <c r="V32" s="18">
        <f>'Monthly P&amp;L'!V52</f>
        <v/>
      </c>
      <c r="W32" s="18">
        <f>'Monthly P&amp;L'!W52</f>
        <v/>
      </c>
      <c r="X32" s="18">
        <f>'Monthly P&amp;L'!X52</f>
        <v/>
      </c>
      <c r="Y32" s="18">
        <f>'Monthly P&amp;L'!Y52</f>
        <v/>
      </c>
      <c r="Z32" s="18">
        <f>'Monthly P&amp;L'!Z52</f>
        <v/>
      </c>
      <c r="AA32" s="18">
        <f>'Monthly P&amp;L'!AA52</f>
        <v/>
      </c>
      <c r="AB32" s="18">
        <f>'Monthly P&amp;L'!AB52</f>
        <v/>
      </c>
      <c r="AC32" s="18">
        <f>'Monthly P&amp;L'!AC52</f>
        <v/>
      </c>
      <c r="AD32" s="18">
        <f>'Monthly P&amp;L'!AD52</f>
        <v/>
      </c>
      <c r="AE32" s="18">
        <f>'Monthly P&amp;L'!AE52</f>
        <v/>
      </c>
      <c r="AF32" s="18">
        <f>'Monthly P&amp;L'!AF52</f>
        <v/>
      </c>
      <c r="AG32" s="18">
        <f>'Monthly P&amp;L'!AG52</f>
        <v/>
      </c>
      <c r="AH32" s="18">
        <f>'Monthly P&amp;L'!AH52</f>
        <v/>
      </c>
      <c r="AI32" s="18">
        <f>'Monthly P&amp;L'!AI52</f>
        <v/>
      </c>
      <c r="AJ32" s="18">
        <f>'Monthly P&amp;L'!AJ52</f>
        <v/>
      </c>
      <c r="AK32" s="18">
        <f>'Monthly P&amp;L'!AK52</f>
        <v/>
      </c>
      <c r="AL32" s="18">
        <f>'Monthly P&amp;L'!AL52</f>
        <v/>
      </c>
      <c r="AM32" s="18">
        <f>'Monthly P&amp;L'!AM52</f>
        <v/>
      </c>
      <c r="AN32" s="18">
        <f>'Monthly P&amp;L'!AN52</f>
        <v/>
      </c>
      <c r="AO32" s="18">
        <f>'Monthly P&amp;L'!AO52</f>
        <v/>
      </c>
      <c r="AP32" s="18">
        <f>'Monthly P&amp;L'!AP52</f>
        <v/>
      </c>
      <c r="AQ32" s="18">
        <f>'Monthly P&amp;L'!AQ52</f>
        <v/>
      </c>
      <c r="AR32" s="18">
        <f>'Monthly P&amp;L'!AR52</f>
        <v/>
      </c>
      <c r="AS32" s="18">
        <f>'Monthly P&amp;L'!AS52</f>
        <v/>
      </c>
      <c r="AT32" s="18">
        <f>'Monthly P&amp;L'!AT52</f>
        <v/>
      </c>
      <c r="AU32" s="18">
        <f>'Monthly P&amp;L'!AU52</f>
        <v/>
      </c>
      <c r="AV32" s="18">
        <f>'Monthly P&amp;L'!AV52</f>
        <v/>
      </c>
      <c r="AW32" s="18">
        <f>'Monthly P&amp;L'!AW52</f>
        <v/>
      </c>
      <c r="AX32" s="18">
        <f>'Monthly P&amp;L'!AX52</f>
        <v/>
      </c>
      <c r="AY32" s="18">
        <f>'Monthly P&amp;L'!AY52</f>
        <v/>
      </c>
      <c r="AZ32" s="18">
        <f>'Monthly P&amp;L'!AZ52</f>
        <v/>
      </c>
      <c r="BA32" s="18">
        <f>'Monthly P&amp;L'!BA52</f>
        <v/>
      </c>
    </row>
    <row r="33">
      <c r="A33" s="3" t="inlineStr">
        <is>
          <t xml:space="preserve">  Domain .ai renewal</t>
        </is>
      </c>
      <c r="B33" s="18">
        <f>'Monthly P&amp;L'!B53</f>
        <v/>
      </c>
      <c r="C33" s="18">
        <f>'Monthly P&amp;L'!C53</f>
        <v/>
      </c>
      <c r="D33" s="18">
        <f>'Monthly P&amp;L'!D53</f>
        <v/>
      </c>
      <c r="E33" s="18">
        <f>'Monthly P&amp;L'!E53</f>
        <v/>
      </c>
      <c r="F33" s="18">
        <f>'Monthly P&amp;L'!F53</f>
        <v/>
      </c>
      <c r="G33" s="18">
        <f>'Monthly P&amp;L'!G53</f>
        <v/>
      </c>
      <c r="H33" s="18">
        <f>'Monthly P&amp;L'!H53</f>
        <v/>
      </c>
      <c r="I33" s="18">
        <f>'Monthly P&amp;L'!I53</f>
        <v/>
      </c>
      <c r="J33" s="18">
        <f>'Monthly P&amp;L'!J53</f>
        <v/>
      </c>
      <c r="K33" s="18">
        <f>'Monthly P&amp;L'!K53</f>
        <v/>
      </c>
      <c r="L33" s="18">
        <f>'Monthly P&amp;L'!L53</f>
        <v/>
      </c>
      <c r="M33" s="18">
        <f>'Monthly P&amp;L'!M53</f>
        <v/>
      </c>
      <c r="N33" s="18">
        <f>'Monthly P&amp;L'!N53</f>
        <v/>
      </c>
      <c r="O33" s="18">
        <f>'Monthly P&amp;L'!O53</f>
        <v/>
      </c>
      <c r="P33" s="18">
        <f>'Monthly P&amp;L'!P53</f>
        <v/>
      </c>
      <c r="Q33" s="18">
        <f>'Monthly P&amp;L'!Q53</f>
        <v/>
      </c>
      <c r="R33" s="18">
        <f>'Monthly P&amp;L'!R53</f>
        <v/>
      </c>
      <c r="S33" s="18">
        <f>'Monthly P&amp;L'!S53</f>
        <v/>
      </c>
      <c r="T33" s="18">
        <f>'Monthly P&amp;L'!T53</f>
        <v/>
      </c>
      <c r="U33" s="18">
        <f>'Monthly P&amp;L'!U53</f>
        <v/>
      </c>
      <c r="V33" s="18">
        <f>'Monthly P&amp;L'!V53</f>
        <v/>
      </c>
      <c r="W33" s="18">
        <f>'Monthly P&amp;L'!W53</f>
        <v/>
      </c>
      <c r="X33" s="18">
        <f>'Monthly P&amp;L'!X53</f>
        <v/>
      </c>
      <c r="Y33" s="18">
        <f>'Monthly P&amp;L'!Y53</f>
        <v/>
      </c>
      <c r="Z33" s="18">
        <f>'Monthly P&amp;L'!Z53</f>
        <v/>
      </c>
      <c r="AA33" s="18">
        <f>'Monthly P&amp;L'!AA53</f>
        <v/>
      </c>
      <c r="AB33" s="18">
        <f>'Monthly P&amp;L'!AB53</f>
        <v/>
      </c>
      <c r="AC33" s="18">
        <f>'Monthly P&amp;L'!AC53</f>
        <v/>
      </c>
      <c r="AD33" s="18">
        <f>'Monthly P&amp;L'!AD53</f>
        <v/>
      </c>
      <c r="AE33" s="18">
        <f>'Monthly P&amp;L'!AE53</f>
        <v/>
      </c>
      <c r="AF33" s="18">
        <f>'Monthly P&amp;L'!AF53</f>
        <v/>
      </c>
      <c r="AG33" s="18">
        <f>'Monthly P&amp;L'!AG53</f>
        <v/>
      </c>
      <c r="AH33" s="18">
        <f>'Monthly P&amp;L'!AH53</f>
        <v/>
      </c>
      <c r="AI33" s="18">
        <f>'Monthly P&amp;L'!AI53</f>
        <v/>
      </c>
      <c r="AJ33" s="18">
        <f>'Monthly P&amp;L'!AJ53</f>
        <v/>
      </c>
      <c r="AK33" s="18">
        <f>'Monthly P&amp;L'!AK53</f>
        <v/>
      </c>
      <c r="AL33" s="18">
        <f>'Monthly P&amp;L'!AL53</f>
        <v/>
      </c>
      <c r="AM33" s="18">
        <f>'Monthly P&amp;L'!AM53</f>
        <v/>
      </c>
      <c r="AN33" s="18">
        <f>'Monthly P&amp;L'!AN53</f>
        <v/>
      </c>
      <c r="AO33" s="18">
        <f>'Monthly P&amp;L'!AO53</f>
        <v/>
      </c>
      <c r="AP33" s="18">
        <f>'Monthly P&amp;L'!AP53</f>
        <v/>
      </c>
      <c r="AQ33" s="18">
        <f>'Monthly P&amp;L'!AQ53</f>
        <v/>
      </c>
      <c r="AR33" s="18">
        <f>'Monthly P&amp;L'!AR53</f>
        <v/>
      </c>
      <c r="AS33" s="18">
        <f>'Monthly P&amp;L'!AS53</f>
        <v/>
      </c>
      <c r="AT33" s="18">
        <f>'Monthly P&amp;L'!AT53</f>
        <v/>
      </c>
      <c r="AU33" s="18">
        <f>'Monthly P&amp;L'!AU53</f>
        <v/>
      </c>
      <c r="AV33" s="18">
        <f>'Monthly P&amp;L'!AV53</f>
        <v/>
      </c>
      <c r="AW33" s="18">
        <f>'Monthly P&amp;L'!AW53</f>
        <v/>
      </c>
      <c r="AX33" s="18">
        <f>'Monthly P&amp;L'!AX53</f>
        <v/>
      </c>
      <c r="AY33" s="18">
        <f>'Monthly P&amp;L'!AY53</f>
        <v/>
      </c>
      <c r="AZ33" s="18">
        <f>'Monthly P&amp;L'!AZ53</f>
        <v/>
      </c>
      <c r="BA33" s="18">
        <f>'Monthly P&amp;L'!BA53</f>
        <v/>
      </c>
    </row>
    <row r="34">
      <c r="A34" s="3" t="inlineStr">
        <is>
          <t xml:space="preserve">  1Password Business</t>
        </is>
      </c>
      <c r="B34" s="18">
        <f>'Monthly P&amp;L'!B54</f>
        <v/>
      </c>
      <c r="C34" s="18">
        <f>'Monthly P&amp;L'!C54</f>
        <v/>
      </c>
      <c r="D34" s="18">
        <f>'Monthly P&amp;L'!D54</f>
        <v/>
      </c>
      <c r="E34" s="18">
        <f>'Monthly P&amp;L'!E54</f>
        <v/>
      </c>
      <c r="F34" s="18">
        <f>'Monthly P&amp;L'!F54</f>
        <v/>
      </c>
      <c r="G34" s="18">
        <f>'Monthly P&amp;L'!G54</f>
        <v/>
      </c>
      <c r="H34" s="18">
        <f>'Monthly P&amp;L'!H54</f>
        <v/>
      </c>
      <c r="I34" s="18">
        <f>'Monthly P&amp;L'!I54</f>
        <v/>
      </c>
      <c r="J34" s="18">
        <f>'Monthly P&amp;L'!J54</f>
        <v/>
      </c>
      <c r="K34" s="18">
        <f>'Monthly P&amp;L'!K54</f>
        <v/>
      </c>
      <c r="L34" s="18">
        <f>'Monthly P&amp;L'!L54</f>
        <v/>
      </c>
      <c r="M34" s="18">
        <f>'Monthly P&amp;L'!M54</f>
        <v/>
      </c>
      <c r="N34" s="18">
        <f>'Monthly P&amp;L'!N54</f>
        <v/>
      </c>
      <c r="O34" s="18">
        <f>'Monthly P&amp;L'!O54</f>
        <v/>
      </c>
      <c r="P34" s="18">
        <f>'Monthly P&amp;L'!P54</f>
        <v/>
      </c>
      <c r="Q34" s="18">
        <f>'Monthly P&amp;L'!Q54</f>
        <v/>
      </c>
      <c r="R34" s="18">
        <f>'Monthly P&amp;L'!R54</f>
        <v/>
      </c>
      <c r="S34" s="18">
        <f>'Monthly P&amp;L'!S54</f>
        <v/>
      </c>
      <c r="T34" s="18">
        <f>'Monthly P&amp;L'!T54</f>
        <v/>
      </c>
      <c r="U34" s="18">
        <f>'Monthly P&amp;L'!U54</f>
        <v/>
      </c>
      <c r="V34" s="18">
        <f>'Monthly P&amp;L'!V54</f>
        <v/>
      </c>
      <c r="W34" s="18">
        <f>'Monthly P&amp;L'!W54</f>
        <v/>
      </c>
      <c r="X34" s="18">
        <f>'Monthly P&amp;L'!X54</f>
        <v/>
      </c>
      <c r="Y34" s="18">
        <f>'Monthly P&amp;L'!Y54</f>
        <v/>
      </c>
      <c r="Z34" s="18">
        <f>'Monthly P&amp;L'!Z54</f>
        <v/>
      </c>
      <c r="AA34" s="18">
        <f>'Monthly P&amp;L'!AA54</f>
        <v/>
      </c>
      <c r="AB34" s="18">
        <f>'Monthly P&amp;L'!AB54</f>
        <v/>
      </c>
      <c r="AC34" s="18">
        <f>'Monthly P&amp;L'!AC54</f>
        <v/>
      </c>
      <c r="AD34" s="18">
        <f>'Monthly P&amp;L'!AD54</f>
        <v/>
      </c>
      <c r="AE34" s="18">
        <f>'Monthly P&amp;L'!AE54</f>
        <v/>
      </c>
      <c r="AF34" s="18">
        <f>'Monthly P&amp;L'!AF54</f>
        <v/>
      </c>
      <c r="AG34" s="18">
        <f>'Monthly P&amp;L'!AG54</f>
        <v/>
      </c>
      <c r="AH34" s="18">
        <f>'Monthly P&amp;L'!AH54</f>
        <v/>
      </c>
      <c r="AI34" s="18">
        <f>'Monthly P&amp;L'!AI54</f>
        <v/>
      </c>
      <c r="AJ34" s="18">
        <f>'Monthly P&amp;L'!AJ54</f>
        <v/>
      </c>
      <c r="AK34" s="18">
        <f>'Monthly P&amp;L'!AK54</f>
        <v/>
      </c>
      <c r="AL34" s="18">
        <f>'Monthly P&amp;L'!AL54</f>
        <v/>
      </c>
      <c r="AM34" s="18">
        <f>'Monthly P&amp;L'!AM54</f>
        <v/>
      </c>
      <c r="AN34" s="18">
        <f>'Monthly P&amp;L'!AN54</f>
        <v/>
      </c>
      <c r="AO34" s="18">
        <f>'Monthly P&amp;L'!AO54</f>
        <v/>
      </c>
      <c r="AP34" s="18">
        <f>'Monthly P&amp;L'!AP54</f>
        <v/>
      </c>
      <c r="AQ34" s="18">
        <f>'Monthly P&amp;L'!AQ54</f>
        <v/>
      </c>
      <c r="AR34" s="18">
        <f>'Monthly P&amp;L'!AR54</f>
        <v/>
      </c>
      <c r="AS34" s="18">
        <f>'Monthly P&amp;L'!AS54</f>
        <v/>
      </c>
      <c r="AT34" s="18">
        <f>'Monthly P&amp;L'!AT54</f>
        <v/>
      </c>
      <c r="AU34" s="18">
        <f>'Monthly P&amp;L'!AU54</f>
        <v/>
      </c>
      <c r="AV34" s="18">
        <f>'Monthly P&amp;L'!AV54</f>
        <v/>
      </c>
      <c r="AW34" s="18">
        <f>'Monthly P&amp;L'!AW54</f>
        <v/>
      </c>
      <c r="AX34" s="18">
        <f>'Monthly P&amp;L'!AX54</f>
        <v/>
      </c>
      <c r="AY34" s="18">
        <f>'Monthly P&amp;L'!AY54</f>
        <v/>
      </c>
      <c r="AZ34" s="18">
        <f>'Monthly P&amp;L'!AZ54</f>
        <v/>
      </c>
      <c r="BA34" s="18">
        <f>'Monthly P&amp;L'!BA54</f>
        <v/>
      </c>
    </row>
    <row r="35">
      <c r="A35" s="3" t="inlineStr">
        <is>
          <t xml:space="preserve">  Canva Pro</t>
        </is>
      </c>
      <c r="B35" s="18">
        <f>'Monthly P&amp;L'!B55</f>
        <v/>
      </c>
      <c r="C35" s="18">
        <f>'Monthly P&amp;L'!C55</f>
        <v/>
      </c>
      <c r="D35" s="18">
        <f>'Monthly P&amp;L'!D55</f>
        <v/>
      </c>
      <c r="E35" s="18">
        <f>'Monthly P&amp;L'!E55</f>
        <v/>
      </c>
      <c r="F35" s="18">
        <f>'Monthly P&amp;L'!F55</f>
        <v/>
      </c>
      <c r="G35" s="18">
        <f>'Monthly P&amp;L'!G55</f>
        <v/>
      </c>
      <c r="H35" s="18">
        <f>'Monthly P&amp;L'!H55</f>
        <v/>
      </c>
      <c r="I35" s="18">
        <f>'Monthly P&amp;L'!I55</f>
        <v/>
      </c>
      <c r="J35" s="18">
        <f>'Monthly P&amp;L'!J55</f>
        <v/>
      </c>
      <c r="K35" s="18">
        <f>'Monthly P&amp;L'!K55</f>
        <v/>
      </c>
      <c r="L35" s="18">
        <f>'Monthly P&amp;L'!L55</f>
        <v/>
      </c>
      <c r="M35" s="18">
        <f>'Monthly P&amp;L'!M55</f>
        <v/>
      </c>
      <c r="N35" s="18">
        <f>'Monthly P&amp;L'!N55</f>
        <v/>
      </c>
      <c r="O35" s="18">
        <f>'Monthly P&amp;L'!O55</f>
        <v/>
      </c>
      <c r="P35" s="18">
        <f>'Monthly P&amp;L'!P55</f>
        <v/>
      </c>
      <c r="Q35" s="18">
        <f>'Monthly P&amp;L'!Q55</f>
        <v/>
      </c>
      <c r="R35" s="18">
        <f>'Monthly P&amp;L'!R55</f>
        <v/>
      </c>
      <c r="S35" s="18">
        <f>'Monthly P&amp;L'!S55</f>
        <v/>
      </c>
      <c r="T35" s="18">
        <f>'Monthly P&amp;L'!T55</f>
        <v/>
      </c>
      <c r="U35" s="18">
        <f>'Monthly P&amp;L'!U55</f>
        <v/>
      </c>
      <c r="V35" s="18">
        <f>'Monthly P&amp;L'!V55</f>
        <v/>
      </c>
      <c r="W35" s="18">
        <f>'Monthly P&amp;L'!W55</f>
        <v/>
      </c>
      <c r="X35" s="18">
        <f>'Monthly P&amp;L'!X55</f>
        <v/>
      </c>
      <c r="Y35" s="18">
        <f>'Monthly P&amp;L'!Y55</f>
        <v/>
      </c>
      <c r="Z35" s="18">
        <f>'Monthly P&amp;L'!Z55</f>
        <v/>
      </c>
      <c r="AA35" s="18">
        <f>'Monthly P&amp;L'!AA55</f>
        <v/>
      </c>
      <c r="AB35" s="18">
        <f>'Monthly P&amp;L'!AB55</f>
        <v/>
      </c>
      <c r="AC35" s="18">
        <f>'Monthly P&amp;L'!AC55</f>
        <v/>
      </c>
      <c r="AD35" s="18">
        <f>'Monthly P&amp;L'!AD55</f>
        <v/>
      </c>
      <c r="AE35" s="18">
        <f>'Monthly P&amp;L'!AE55</f>
        <v/>
      </c>
      <c r="AF35" s="18">
        <f>'Monthly P&amp;L'!AF55</f>
        <v/>
      </c>
      <c r="AG35" s="18">
        <f>'Monthly P&amp;L'!AG55</f>
        <v/>
      </c>
      <c r="AH35" s="18">
        <f>'Monthly P&amp;L'!AH55</f>
        <v/>
      </c>
      <c r="AI35" s="18">
        <f>'Monthly P&amp;L'!AI55</f>
        <v/>
      </c>
      <c r="AJ35" s="18">
        <f>'Monthly P&amp;L'!AJ55</f>
        <v/>
      </c>
      <c r="AK35" s="18">
        <f>'Monthly P&amp;L'!AK55</f>
        <v/>
      </c>
      <c r="AL35" s="18">
        <f>'Monthly P&amp;L'!AL55</f>
        <v/>
      </c>
      <c r="AM35" s="18">
        <f>'Monthly P&amp;L'!AM55</f>
        <v/>
      </c>
      <c r="AN35" s="18">
        <f>'Monthly P&amp;L'!AN55</f>
        <v/>
      </c>
      <c r="AO35" s="18">
        <f>'Monthly P&amp;L'!AO55</f>
        <v/>
      </c>
      <c r="AP35" s="18">
        <f>'Monthly P&amp;L'!AP55</f>
        <v/>
      </c>
      <c r="AQ35" s="18">
        <f>'Monthly P&amp;L'!AQ55</f>
        <v/>
      </c>
      <c r="AR35" s="18">
        <f>'Monthly P&amp;L'!AR55</f>
        <v/>
      </c>
      <c r="AS35" s="18">
        <f>'Monthly P&amp;L'!AS55</f>
        <v/>
      </c>
      <c r="AT35" s="18">
        <f>'Monthly P&amp;L'!AT55</f>
        <v/>
      </c>
      <c r="AU35" s="18">
        <f>'Monthly P&amp;L'!AU55</f>
        <v/>
      </c>
      <c r="AV35" s="18">
        <f>'Monthly P&amp;L'!AV55</f>
        <v/>
      </c>
      <c r="AW35" s="18">
        <f>'Monthly P&amp;L'!AW55</f>
        <v/>
      </c>
      <c r="AX35" s="18">
        <f>'Monthly P&amp;L'!AX55</f>
        <v/>
      </c>
      <c r="AY35" s="18">
        <f>'Monthly P&amp;L'!AY55</f>
        <v/>
      </c>
      <c r="AZ35" s="18">
        <f>'Monthly P&amp;L'!AZ55</f>
        <v/>
      </c>
      <c r="BA35" s="18">
        <f>'Monthly P&amp;L'!BA55</f>
        <v/>
      </c>
    </row>
    <row r="36">
      <c r="A36" s="3" t="inlineStr">
        <is>
          <t xml:space="preserve">  Sentry monitoring</t>
        </is>
      </c>
      <c r="B36" s="18">
        <f>'Monthly P&amp;L'!B56</f>
        <v/>
      </c>
      <c r="C36" s="18">
        <f>'Monthly P&amp;L'!C56</f>
        <v/>
      </c>
      <c r="D36" s="18">
        <f>'Monthly P&amp;L'!D56</f>
        <v/>
      </c>
      <c r="E36" s="18">
        <f>'Monthly P&amp;L'!E56</f>
        <v/>
      </c>
      <c r="F36" s="18">
        <f>'Monthly P&amp;L'!F56</f>
        <v/>
      </c>
      <c r="G36" s="18">
        <f>'Monthly P&amp;L'!G56</f>
        <v/>
      </c>
      <c r="H36" s="18">
        <f>'Monthly P&amp;L'!H56</f>
        <v/>
      </c>
      <c r="I36" s="18">
        <f>'Monthly P&amp;L'!I56</f>
        <v/>
      </c>
      <c r="J36" s="18">
        <f>'Monthly P&amp;L'!J56</f>
        <v/>
      </c>
      <c r="K36" s="18">
        <f>'Monthly P&amp;L'!K56</f>
        <v/>
      </c>
      <c r="L36" s="18">
        <f>'Monthly P&amp;L'!L56</f>
        <v/>
      </c>
      <c r="M36" s="18">
        <f>'Monthly P&amp;L'!M56</f>
        <v/>
      </c>
      <c r="N36" s="18">
        <f>'Monthly P&amp;L'!N56</f>
        <v/>
      </c>
      <c r="O36" s="18">
        <f>'Monthly P&amp;L'!O56</f>
        <v/>
      </c>
      <c r="P36" s="18">
        <f>'Monthly P&amp;L'!P56</f>
        <v/>
      </c>
      <c r="Q36" s="18">
        <f>'Monthly P&amp;L'!Q56</f>
        <v/>
      </c>
      <c r="R36" s="18">
        <f>'Monthly P&amp;L'!R56</f>
        <v/>
      </c>
      <c r="S36" s="18">
        <f>'Monthly P&amp;L'!S56</f>
        <v/>
      </c>
      <c r="T36" s="18">
        <f>'Monthly P&amp;L'!T56</f>
        <v/>
      </c>
      <c r="U36" s="18">
        <f>'Monthly P&amp;L'!U56</f>
        <v/>
      </c>
      <c r="V36" s="18">
        <f>'Monthly P&amp;L'!V56</f>
        <v/>
      </c>
      <c r="W36" s="18">
        <f>'Monthly P&amp;L'!W56</f>
        <v/>
      </c>
      <c r="X36" s="18">
        <f>'Monthly P&amp;L'!X56</f>
        <v/>
      </c>
      <c r="Y36" s="18">
        <f>'Monthly P&amp;L'!Y56</f>
        <v/>
      </c>
      <c r="Z36" s="18">
        <f>'Monthly P&amp;L'!Z56</f>
        <v/>
      </c>
      <c r="AA36" s="18">
        <f>'Monthly P&amp;L'!AA56</f>
        <v/>
      </c>
      <c r="AB36" s="18">
        <f>'Monthly P&amp;L'!AB56</f>
        <v/>
      </c>
      <c r="AC36" s="18">
        <f>'Monthly P&amp;L'!AC56</f>
        <v/>
      </c>
      <c r="AD36" s="18">
        <f>'Monthly P&amp;L'!AD56</f>
        <v/>
      </c>
      <c r="AE36" s="18">
        <f>'Monthly P&amp;L'!AE56</f>
        <v/>
      </c>
      <c r="AF36" s="18">
        <f>'Monthly P&amp;L'!AF56</f>
        <v/>
      </c>
      <c r="AG36" s="18">
        <f>'Monthly P&amp;L'!AG56</f>
        <v/>
      </c>
      <c r="AH36" s="18">
        <f>'Monthly P&amp;L'!AH56</f>
        <v/>
      </c>
      <c r="AI36" s="18">
        <f>'Monthly P&amp;L'!AI56</f>
        <v/>
      </c>
      <c r="AJ36" s="18">
        <f>'Monthly P&amp;L'!AJ56</f>
        <v/>
      </c>
      <c r="AK36" s="18">
        <f>'Monthly P&amp;L'!AK56</f>
        <v/>
      </c>
      <c r="AL36" s="18">
        <f>'Monthly P&amp;L'!AL56</f>
        <v/>
      </c>
      <c r="AM36" s="18">
        <f>'Monthly P&amp;L'!AM56</f>
        <v/>
      </c>
      <c r="AN36" s="18">
        <f>'Monthly P&amp;L'!AN56</f>
        <v/>
      </c>
      <c r="AO36" s="18">
        <f>'Monthly P&amp;L'!AO56</f>
        <v/>
      </c>
      <c r="AP36" s="18">
        <f>'Monthly P&amp;L'!AP56</f>
        <v/>
      </c>
      <c r="AQ36" s="18">
        <f>'Monthly P&amp;L'!AQ56</f>
        <v/>
      </c>
      <c r="AR36" s="18">
        <f>'Monthly P&amp;L'!AR56</f>
        <v/>
      </c>
      <c r="AS36" s="18">
        <f>'Monthly P&amp;L'!AS56</f>
        <v/>
      </c>
      <c r="AT36" s="18">
        <f>'Monthly P&amp;L'!AT56</f>
        <v/>
      </c>
      <c r="AU36" s="18">
        <f>'Monthly P&amp;L'!AU56</f>
        <v/>
      </c>
      <c r="AV36" s="18">
        <f>'Monthly P&amp;L'!AV56</f>
        <v/>
      </c>
      <c r="AW36" s="18">
        <f>'Monthly P&amp;L'!AW56</f>
        <v/>
      </c>
      <c r="AX36" s="18">
        <f>'Monthly P&amp;L'!AX56</f>
        <v/>
      </c>
      <c r="AY36" s="18">
        <f>'Monthly P&amp;L'!AY56</f>
        <v/>
      </c>
      <c r="AZ36" s="18">
        <f>'Monthly P&amp;L'!AZ56</f>
        <v/>
      </c>
      <c r="BA36" s="18">
        <f>'Monthly P&amp;L'!BA56</f>
        <v/>
      </c>
    </row>
    <row r="37">
      <c r="A37" s="3" t="inlineStr">
        <is>
          <t xml:space="preserve">  Resend email</t>
        </is>
      </c>
      <c r="B37" s="18">
        <f>'Monthly P&amp;L'!B57</f>
        <v/>
      </c>
      <c r="C37" s="18">
        <f>'Monthly P&amp;L'!C57</f>
        <v/>
      </c>
      <c r="D37" s="18">
        <f>'Monthly P&amp;L'!D57</f>
        <v/>
      </c>
      <c r="E37" s="18">
        <f>'Monthly P&amp;L'!E57</f>
        <v/>
      </c>
      <c r="F37" s="18">
        <f>'Monthly P&amp;L'!F57</f>
        <v/>
      </c>
      <c r="G37" s="18">
        <f>'Monthly P&amp;L'!G57</f>
        <v/>
      </c>
      <c r="H37" s="18">
        <f>'Monthly P&amp;L'!H57</f>
        <v/>
      </c>
      <c r="I37" s="18">
        <f>'Monthly P&amp;L'!I57</f>
        <v/>
      </c>
      <c r="J37" s="18">
        <f>'Monthly P&amp;L'!J57</f>
        <v/>
      </c>
      <c r="K37" s="18">
        <f>'Monthly P&amp;L'!K57</f>
        <v/>
      </c>
      <c r="L37" s="18">
        <f>'Monthly P&amp;L'!L57</f>
        <v/>
      </c>
      <c r="M37" s="18">
        <f>'Monthly P&amp;L'!M57</f>
        <v/>
      </c>
      <c r="N37" s="18">
        <f>'Monthly P&amp;L'!N57</f>
        <v/>
      </c>
      <c r="O37" s="18">
        <f>'Monthly P&amp;L'!O57</f>
        <v/>
      </c>
      <c r="P37" s="18">
        <f>'Monthly P&amp;L'!P57</f>
        <v/>
      </c>
      <c r="Q37" s="18">
        <f>'Monthly P&amp;L'!Q57</f>
        <v/>
      </c>
      <c r="R37" s="18">
        <f>'Monthly P&amp;L'!R57</f>
        <v/>
      </c>
      <c r="S37" s="18">
        <f>'Monthly P&amp;L'!S57</f>
        <v/>
      </c>
      <c r="T37" s="18">
        <f>'Monthly P&amp;L'!T57</f>
        <v/>
      </c>
      <c r="U37" s="18">
        <f>'Monthly P&amp;L'!U57</f>
        <v/>
      </c>
      <c r="V37" s="18">
        <f>'Monthly P&amp;L'!V57</f>
        <v/>
      </c>
      <c r="W37" s="18">
        <f>'Monthly P&amp;L'!W57</f>
        <v/>
      </c>
      <c r="X37" s="18">
        <f>'Monthly P&amp;L'!X57</f>
        <v/>
      </c>
      <c r="Y37" s="18">
        <f>'Monthly P&amp;L'!Y57</f>
        <v/>
      </c>
      <c r="Z37" s="18">
        <f>'Monthly P&amp;L'!Z57</f>
        <v/>
      </c>
      <c r="AA37" s="18">
        <f>'Monthly P&amp;L'!AA57</f>
        <v/>
      </c>
      <c r="AB37" s="18">
        <f>'Monthly P&amp;L'!AB57</f>
        <v/>
      </c>
      <c r="AC37" s="18">
        <f>'Monthly P&amp;L'!AC57</f>
        <v/>
      </c>
      <c r="AD37" s="18">
        <f>'Monthly P&amp;L'!AD57</f>
        <v/>
      </c>
      <c r="AE37" s="18">
        <f>'Monthly P&amp;L'!AE57</f>
        <v/>
      </c>
      <c r="AF37" s="18">
        <f>'Monthly P&amp;L'!AF57</f>
        <v/>
      </c>
      <c r="AG37" s="18">
        <f>'Monthly P&amp;L'!AG57</f>
        <v/>
      </c>
      <c r="AH37" s="18">
        <f>'Monthly P&amp;L'!AH57</f>
        <v/>
      </c>
      <c r="AI37" s="18">
        <f>'Monthly P&amp;L'!AI57</f>
        <v/>
      </c>
      <c r="AJ37" s="18">
        <f>'Monthly P&amp;L'!AJ57</f>
        <v/>
      </c>
      <c r="AK37" s="18">
        <f>'Monthly P&amp;L'!AK57</f>
        <v/>
      </c>
      <c r="AL37" s="18">
        <f>'Monthly P&amp;L'!AL57</f>
        <v/>
      </c>
      <c r="AM37" s="18">
        <f>'Monthly P&amp;L'!AM57</f>
        <v/>
      </c>
      <c r="AN37" s="18">
        <f>'Monthly P&amp;L'!AN57</f>
        <v/>
      </c>
      <c r="AO37" s="18">
        <f>'Monthly P&amp;L'!AO57</f>
        <v/>
      </c>
      <c r="AP37" s="18">
        <f>'Monthly P&amp;L'!AP57</f>
        <v/>
      </c>
      <c r="AQ37" s="18">
        <f>'Monthly P&amp;L'!AQ57</f>
        <v/>
      </c>
      <c r="AR37" s="18">
        <f>'Monthly P&amp;L'!AR57</f>
        <v/>
      </c>
      <c r="AS37" s="18">
        <f>'Monthly P&amp;L'!AS57</f>
        <v/>
      </c>
      <c r="AT37" s="18">
        <f>'Monthly P&amp;L'!AT57</f>
        <v/>
      </c>
      <c r="AU37" s="18">
        <f>'Monthly P&amp;L'!AU57</f>
        <v/>
      </c>
      <c r="AV37" s="18">
        <f>'Monthly P&amp;L'!AV57</f>
        <v/>
      </c>
      <c r="AW37" s="18">
        <f>'Monthly P&amp;L'!AW57</f>
        <v/>
      </c>
      <c r="AX37" s="18">
        <f>'Monthly P&amp;L'!AX57</f>
        <v/>
      </c>
      <c r="AY37" s="18">
        <f>'Monthly P&amp;L'!AY57</f>
        <v/>
      </c>
      <c r="AZ37" s="18">
        <f>'Monthly P&amp;L'!AZ57</f>
        <v/>
      </c>
      <c r="BA37" s="18">
        <f>'Monthly P&amp;L'!BA57</f>
        <v/>
      </c>
    </row>
    <row r="38">
      <c r="A38" s="3" t="inlineStr">
        <is>
          <t xml:space="preserve">  Notion</t>
        </is>
      </c>
      <c r="B38" s="18">
        <f>'Monthly P&amp;L'!B58</f>
        <v/>
      </c>
      <c r="C38" s="18">
        <f>'Monthly P&amp;L'!C58</f>
        <v/>
      </c>
      <c r="D38" s="18">
        <f>'Monthly P&amp;L'!D58</f>
        <v/>
      </c>
      <c r="E38" s="18">
        <f>'Monthly P&amp;L'!E58</f>
        <v/>
      </c>
      <c r="F38" s="18">
        <f>'Monthly P&amp;L'!F58</f>
        <v/>
      </c>
      <c r="G38" s="18">
        <f>'Monthly P&amp;L'!G58</f>
        <v/>
      </c>
      <c r="H38" s="18">
        <f>'Monthly P&amp;L'!H58</f>
        <v/>
      </c>
      <c r="I38" s="18">
        <f>'Monthly P&amp;L'!I58</f>
        <v/>
      </c>
      <c r="J38" s="18">
        <f>'Monthly P&amp;L'!J58</f>
        <v/>
      </c>
      <c r="K38" s="18">
        <f>'Monthly P&amp;L'!K58</f>
        <v/>
      </c>
      <c r="L38" s="18">
        <f>'Monthly P&amp;L'!L58</f>
        <v/>
      </c>
      <c r="M38" s="18">
        <f>'Monthly P&amp;L'!M58</f>
        <v/>
      </c>
      <c r="N38" s="18">
        <f>'Monthly P&amp;L'!N58</f>
        <v/>
      </c>
      <c r="O38" s="18">
        <f>'Monthly P&amp;L'!O58</f>
        <v/>
      </c>
      <c r="P38" s="18">
        <f>'Monthly P&amp;L'!P58</f>
        <v/>
      </c>
      <c r="Q38" s="18">
        <f>'Monthly P&amp;L'!Q58</f>
        <v/>
      </c>
      <c r="R38" s="18">
        <f>'Monthly P&amp;L'!R58</f>
        <v/>
      </c>
      <c r="S38" s="18">
        <f>'Monthly P&amp;L'!S58</f>
        <v/>
      </c>
      <c r="T38" s="18">
        <f>'Monthly P&amp;L'!T58</f>
        <v/>
      </c>
      <c r="U38" s="18">
        <f>'Monthly P&amp;L'!U58</f>
        <v/>
      </c>
      <c r="V38" s="18">
        <f>'Monthly P&amp;L'!V58</f>
        <v/>
      </c>
      <c r="W38" s="18">
        <f>'Monthly P&amp;L'!W58</f>
        <v/>
      </c>
      <c r="X38" s="18">
        <f>'Monthly P&amp;L'!X58</f>
        <v/>
      </c>
      <c r="Y38" s="18">
        <f>'Monthly P&amp;L'!Y58</f>
        <v/>
      </c>
      <c r="Z38" s="18">
        <f>'Monthly P&amp;L'!Z58</f>
        <v/>
      </c>
      <c r="AA38" s="18">
        <f>'Monthly P&amp;L'!AA58</f>
        <v/>
      </c>
      <c r="AB38" s="18">
        <f>'Monthly P&amp;L'!AB58</f>
        <v/>
      </c>
      <c r="AC38" s="18">
        <f>'Monthly P&amp;L'!AC58</f>
        <v/>
      </c>
      <c r="AD38" s="18">
        <f>'Monthly P&amp;L'!AD58</f>
        <v/>
      </c>
      <c r="AE38" s="18">
        <f>'Monthly P&amp;L'!AE58</f>
        <v/>
      </c>
      <c r="AF38" s="18">
        <f>'Monthly P&amp;L'!AF58</f>
        <v/>
      </c>
      <c r="AG38" s="18">
        <f>'Monthly P&amp;L'!AG58</f>
        <v/>
      </c>
      <c r="AH38" s="18">
        <f>'Monthly P&amp;L'!AH58</f>
        <v/>
      </c>
      <c r="AI38" s="18">
        <f>'Monthly P&amp;L'!AI58</f>
        <v/>
      </c>
      <c r="AJ38" s="18">
        <f>'Monthly P&amp;L'!AJ58</f>
        <v/>
      </c>
      <c r="AK38" s="18">
        <f>'Monthly P&amp;L'!AK58</f>
        <v/>
      </c>
      <c r="AL38" s="18">
        <f>'Monthly P&amp;L'!AL58</f>
        <v/>
      </c>
      <c r="AM38" s="18">
        <f>'Monthly P&amp;L'!AM58</f>
        <v/>
      </c>
      <c r="AN38" s="18">
        <f>'Monthly P&amp;L'!AN58</f>
        <v/>
      </c>
      <c r="AO38" s="18">
        <f>'Monthly P&amp;L'!AO58</f>
        <v/>
      </c>
      <c r="AP38" s="18">
        <f>'Monthly P&amp;L'!AP58</f>
        <v/>
      </c>
      <c r="AQ38" s="18">
        <f>'Monthly P&amp;L'!AQ58</f>
        <v/>
      </c>
      <c r="AR38" s="18">
        <f>'Monthly P&amp;L'!AR58</f>
        <v/>
      </c>
      <c r="AS38" s="18">
        <f>'Monthly P&amp;L'!AS58</f>
        <v/>
      </c>
      <c r="AT38" s="18">
        <f>'Monthly P&amp;L'!AT58</f>
        <v/>
      </c>
      <c r="AU38" s="18">
        <f>'Monthly P&amp;L'!AU58</f>
        <v/>
      </c>
      <c r="AV38" s="18">
        <f>'Monthly P&amp;L'!AV58</f>
        <v/>
      </c>
      <c r="AW38" s="18">
        <f>'Monthly P&amp;L'!AW58</f>
        <v/>
      </c>
      <c r="AX38" s="18">
        <f>'Monthly P&amp;L'!AX58</f>
        <v/>
      </c>
      <c r="AY38" s="18">
        <f>'Monthly P&amp;L'!AY58</f>
        <v/>
      </c>
      <c r="AZ38" s="18">
        <f>'Monthly P&amp;L'!AZ58</f>
        <v/>
      </c>
      <c r="BA38" s="18">
        <f>'Monthly P&amp;L'!BA58</f>
        <v/>
      </c>
    </row>
    <row r="39">
      <c r="A39" s="3" t="inlineStr">
        <is>
          <t xml:space="preserve">  Cloudflare Pro</t>
        </is>
      </c>
      <c r="B39" s="18">
        <f>'Monthly P&amp;L'!B59</f>
        <v/>
      </c>
      <c r="C39" s="18">
        <f>'Monthly P&amp;L'!C59</f>
        <v/>
      </c>
      <c r="D39" s="18">
        <f>'Monthly P&amp;L'!D59</f>
        <v/>
      </c>
      <c r="E39" s="18">
        <f>'Monthly P&amp;L'!E59</f>
        <v/>
      </c>
      <c r="F39" s="18">
        <f>'Monthly P&amp;L'!F59</f>
        <v/>
      </c>
      <c r="G39" s="18">
        <f>'Monthly P&amp;L'!G59</f>
        <v/>
      </c>
      <c r="H39" s="18">
        <f>'Monthly P&amp;L'!H59</f>
        <v/>
      </c>
      <c r="I39" s="18">
        <f>'Monthly P&amp;L'!I59</f>
        <v/>
      </c>
      <c r="J39" s="18">
        <f>'Monthly P&amp;L'!J59</f>
        <v/>
      </c>
      <c r="K39" s="18">
        <f>'Monthly P&amp;L'!K59</f>
        <v/>
      </c>
      <c r="L39" s="18">
        <f>'Monthly P&amp;L'!L59</f>
        <v/>
      </c>
      <c r="M39" s="18">
        <f>'Monthly P&amp;L'!M59</f>
        <v/>
      </c>
      <c r="N39" s="18">
        <f>'Monthly P&amp;L'!N59</f>
        <v/>
      </c>
      <c r="O39" s="18">
        <f>'Monthly P&amp;L'!O59</f>
        <v/>
      </c>
      <c r="P39" s="18">
        <f>'Monthly P&amp;L'!P59</f>
        <v/>
      </c>
      <c r="Q39" s="18">
        <f>'Monthly P&amp;L'!Q59</f>
        <v/>
      </c>
      <c r="R39" s="18">
        <f>'Monthly P&amp;L'!R59</f>
        <v/>
      </c>
      <c r="S39" s="18">
        <f>'Monthly P&amp;L'!S59</f>
        <v/>
      </c>
      <c r="T39" s="18">
        <f>'Monthly P&amp;L'!T59</f>
        <v/>
      </c>
      <c r="U39" s="18">
        <f>'Monthly P&amp;L'!U59</f>
        <v/>
      </c>
      <c r="V39" s="18">
        <f>'Monthly P&amp;L'!V59</f>
        <v/>
      </c>
      <c r="W39" s="18">
        <f>'Monthly P&amp;L'!W59</f>
        <v/>
      </c>
      <c r="X39" s="18">
        <f>'Monthly P&amp;L'!X59</f>
        <v/>
      </c>
      <c r="Y39" s="18">
        <f>'Monthly P&amp;L'!Y59</f>
        <v/>
      </c>
      <c r="Z39" s="18">
        <f>'Monthly P&amp;L'!Z59</f>
        <v/>
      </c>
      <c r="AA39" s="18">
        <f>'Monthly P&amp;L'!AA59</f>
        <v/>
      </c>
      <c r="AB39" s="18">
        <f>'Monthly P&amp;L'!AB59</f>
        <v/>
      </c>
      <c r="AC39" s="18">
        <f>'Monthly P&amp;L'!AC59</f>
        <v/>
      </c>
      <c r="AD39" s="18">
        <f>'Monthly P&amp;L'!AD59</f>
        <v/>
      </c>
      <c r="AE39" s="18">
        <f>'Monthly P&amp;L'!AE59</f>
        <v/>
      </c>
      <c r="AF39" s="18">
        <f>'Monthly P&amp;L'!AF59</f>
        <v/>
      </c>
      <c r="AG39" s="18">
        <f>'Monthly P&amp;L'!AG59</f>
        <v/>
      </c>
      <c r="AH39" s="18">
        <f>'Monthly P&amp;L'!AH59</f>
        <v/>
      </c>
      <c r="AI39" s="18">
        <f>'Monthly P&amp;L'!AI59</f>
        <v/>
      </c>
      <c r="AJ39" s="18">
        <f>'Monthly P&amp;L'!AJ59</f>
        <v/>
      </c>
      <c r="AK39" s="18">
        <f>'Monthly P&amp;L'!AK59</f>
        <v/>
      </c>
      <c r="AL39" s="18">
        <f>'Monthly P&amp;L'!AL59</f>
        <v/>
      </c>
      <c r="AM39" s="18">
        <f>'Monthly P&amp;L'!AM59</f>
        <v/>
      </c>
      <c r="AN39" s="18">
        <f>'Monthly P&amp;L'!AN59</f>
        <v/>
      </c>
      <c r="AO39" s="18">
        <f>'Monthly P&amp;L'!AO59</f>
        <v/>
      </c>
      <c r="AP39" s="18">
        <f>'Monthly P&amp;L'!AP59</f>
        <v/>
      </c>
      <c r="AQ39" s="18">
        <f>'Monthly P&amp;L'!AQ59</f>
        <v/>
      </c>
      <c r="AR39" s="18">
        <f>'Monthly P&amp;L'!AR59</f>
        <v/>
      </c>
      <c r="AS39" s="18">
        <f>'Monthly P&amp;L'!AS59</f>
        <v/>
      </c>
      <c r="AT39" s="18">
        <f>'Monthly P&amp;L'!AT59</f>
        <v/>
      </c>
      <c r="AU39" s="18">
        <f>'Monthly P&amp;L'!AU59</f>
        <v/>
      </c>
      <c r="AV39" s="18">
        <f>'Monthly P&amp;L'!AV59</f>
        <v/>
      </c>
      <c r="AW39" s="18">
        <f>'Monthly P&amp;L'!AW59</f>
        <v/>
      </c>
      <c r="AX39" s="18">
        <f>'Monthly P&amp;L'!AX59</f>
        <v/>
      </c>
      <c r="AY39" s="18">
        <f>'Monthly P&amp;L'!AY59</f>
        <v/>
      </c>
      <c r="AZ39" s="18">
        <f>'Monthly P&amp;L'!AZ59</f>
        <v/>
      </c>
      <c r="BA39" s="18">
        <f>'Monthly P&amp;L'!BA59</f>
        <v/>
      </c>
    </row>
    <row r="40">
      <c r="A40" s="5" t="inlineStr">
        <is>
          <t xml:space="preserve">  — Admin &amp; Professional</t>
        </is>
      </c>
    </row>
    <row r="41">
      <c r="A41" s="3" t="inlineStr">
        <is>
          <t xml:space="preserve">  Slack Pro</t>
        </is>
      </c>
      <c r="B41" s="18">
        <f>'Monthly P&amp;L'!B61</f>
        <v/>
      </c>
      <c r="C41" s="18">
        <f>'Monthly P&amp;L'!C61</f>
        <v/>
      </c>
      <c r="D41" s="18">
        <f>'Monthly P&amp;L'!D61</f>
        <v/>
      </c>
      <c r="E41" s="18">
        <f>'Monthly P&amp;L'!E61</f>
        <v/>
      </c>
      <c r="F41" s="18">
        <f>'Monthly P&amp;L'!F61</f>
        <v/>
      </c>
      <c r="G41" s="18">
        <f>'Monthly P&amp;L'!G61</f>
        <v/>
      </c>
      <c r="H41" s="18">
        <f>'Monthly P&amp;L'!H61</f>
        <v/>
      </c>
      <c r="I41" s="18">
        <f>'Monthly P&amp;L'!I61</f>
        <v/>
      </c>
      <c r="J41" s="18">
        <f>'Monthly P&amp;L'!J61</f>
        <v/>
      </c>
      <c r="K41" s="18">
        <f>'Monthly P&amp;L'!K61</f>
        <v/>
      </c>
      <c r="L41" s="18">
        <f>'Monthly P&amp;L'!L61</f>
        <v/>
      </c>
      <c r="M41" s="18">
        <f>'Monthly P&amp;L'!M61</f>
        <v/>
      </c>
      <c r="N41" s="18">
        <f>'Monthly P&amp;L'!N61</f>
        <v/>
      </c>
      <c r="O41" s="18">
        <f>'Monthly P&amp;L'!O61</f>
        <v/>
      </c>
      <c r="P41" s="18">
        <f>'Monthly P&amp;L'!P61</f>
        <v/>
      </c>
      <c r="Q41" s="18">
        <f>'Monthly P&amp;L'!Q61</f>
        <v/>
      </c>
      <c r="R41" s="18">
        <f>'Monthly P&amp;L'!R61</f>
        <v/>
      </c>
      <c r="S41" s="18">
        <f>'Monthly P&amp;L'!S61</f>
        <v/>
      </c>
      <c r="T41" s="18">
        <f>'Monthly P&amp;L'!T61</f>
        <v/>
      </c>
      <c r="U41" s="18">
        <f>'Monthly P&amp;L'!U61</f>
        <v/>
      </c>
      <c r="V41" s="18">
        <f>'Monthly P&amp;L'!V61</f>
        <v/>
      </c>
      <c r="W41" s="18">
        <f>'Monthly P&amp;L'!W61</f>
        <v/>
      </c>
      <c r="X41" s="18">
        <f>'Monthly P&amp;L'!X61</f>
        <v/>
      </c>
      <c r="Y41" s="18">
        <f>'Monthly P&amp;L'!Y61</f>
        <v/>
      </c>
      <c r="Z41" s="18">
        <f>'Monthly P&amp;L'!Z61</f>
        <v/>
      </c>
      <c r="AA41" s="18">
        <f>'Monthly P&amp;L'!AA61</f>
        <v/>
      </c>
      <c r="AB41" s="18">
        <f>'Monthly P&amp;L'!AB61</f>
        <v/>
      </c>
      <c r="AC41" s="18">
        <f>'Monthly P&amp;L'!AC61</f>
        <v/>
      </c>
      <c r="AD41" s="18">
        <f>'Monthly P&amp;L'!AD61</f>
        <v/>
      </c>
      <c r="AE41" s="18">
        <f>'Monthly P&amp;L'!AE61</f>
        <v/>
      </c>
      <c r="AF41" s="18">
        <f>'Monthly P&amp;L'!AF61</f>
        <v/>
      </c>
      <c r="AG41" s="18">
        <f>'Monthly P&amp;L'!AG61</f>
        <v/>
      </c>
      <c r="AH41" s="18">
        <f>'Monthly P&amp;L'!AH61</f>
        <v/>
      </c>
      <c r="AI41" s="18">
        <f>'Monthly P&amp;L'!AI61</f>
        <v/>
      </c>
      <c r="AJ41" s="18">
        <f>'Monthly P&amp;L'!AJ61</f>
        <v/>
      </c>
      <c r="AK41" s="18">
        <f>'Monthly P&amp;L'!AK61</f>
        <v/>
      </c>
      <c r="AL41" s="18">
        <f>'Monthly P&amp;L'!AL61</f>
        <v/>
      </c>
      <c r="AM41" s="18">
        <f>'Monthly P&amp;L'!AM61</f>
        <v/>
      </c>
      <c r="AN41" s="18">
        <f>'Monthly P&amp;L'!AN61</f>
        <v/>
      </c>
      <c r="AO41" s="18">
        <f>'Monthly P&amp;L'!AO61</f>
        <v/>
      </c>
      <c r="AP41" s="18">
        <f>'Monthly P&amp;L'!AP61</f>
        <v/>
      </c>
      <c r="AQ41" s="18">
        <f>'Monthly P&amp;L'!AQ61</f>
        <v/>
      </c>
      <c r="AR41" s="18">
        <f>'Monthly P&amp;L'!AR61</f>
        <v/>
      </c>
      <c r="AS41" s="18">
        <f>'Monthly P&amp;L'!AS61</f>
        <v/>
      </c>
      <c r="AT41" s="18">
        <f>'Monthly P&amp;L'!AT61</f>
        <v/>
      </c>
      <c r="AU41" s="18">
        <f>'Monthly P&amp;L'!AU61</f>
        <v/>
      </c>
      <c r="AV41" s="18">
        <f>'Monthly P&amp;L'!AV61</f>
        <v/>
      </c>
      <c r="AW41" s="18">
        <f>'Monthly P&amp;L'!AW61</f>
        <v/>
      </c>
      <c r="AX41" s="18">
        <f>'Monthly P&amp;L'!AX61</f>
        <v/>
      </c>
      <c r="AY41" s="18">
        <f>'Monthly P&amp;L'!AY61</f>
        <v/>
      </c>
      <c r="AZ41" s="18">
        <f>'Monthly P&amp;L'!AZ61</f>
        <v/>
      </c>
      <c r="BA41" s="18">
        <f>'Monthly P&amp;L'!BA61</f>
        <v/>
      </c>
    </row>
    <row r="42">
      <c r="A42" s="3" t="inlineStr">
        <is>
          <t xml:space="preserve">  GitHub Actions (CI/CD)</t>
        </is>
      </c>
      <c r="B42" s="18">
        <f>'Monthly P&amp;L'!B62</f>
        <v/>
      </c>
      <c r="C42" s="18">
        <f>'Monthly P&amp;L'!C62</f>
        <v/>
      </c>
      <c r="D42" s="18">
        <f>'Monthly P&amp;L'!D62</f>
        <v/>
      </c>
      <c r="E42" s="18">
        <f>'Monthly P&amp;L'!E62</f>
        <v/>
      </c>
      <c r="F42" s="18">
        <f>'Monthly P&amp;L'!F62</f>
        <v/>
      </c>
      <c r="G42" s="18">
        <f>'Monthly P&amp;L'!G62</f>
        <v/>
      </c>
      <c r="H42" s="18">
        <f>'Monthly P&amp;L'!H62</f>
        <v/>
      </c>
      <c r="I42" s="18">
        <f>'Monthly P&amp;L'!I62</f>
        <v/>
      </c>
      <c r="J42" s="18">
        <f>'Monthly P&amp;L'!J62</f>
        <v/>
      </c>
      <c r="K42" s="18">
        <f>'Monthly P&amp;L'!K62</f>
        <v/>
      </c>
      <c r="L42" s="18">
        <f>'Monthly P&amp;L'!L62</f>
        <v/>
      </c>
      <c r="M42" s="18">
        <f>'Monthly P&amp;L'!M62</f>
        <v/>
      </c>
      <c r="N42" s="18">
        <f>'Monthly P&amp;L'!N62</f>
        <v/>
      </c>
      <c r="O42" s="18">
        <f>'Monthly P&amp;L'!O62</f>
        <v/>
      </c>
      <c r="P42" s="18">
        <f>'Monthly P&amp;L'!P62</f>
        <v/>
      </c>
      <c r="Q42" s="18">
        <f>'Monthly P&amp;L'!Q62</f>
        <v/>
      </c>
      <c r="R42" s="18">
        <f>'Monthly P&amp;L'!R62</f>
        <v/>
      </c>
      <c r="S42" s="18">
        <f>'Monthly P&amp;L'!S62</f>
        <v/>
      </c>
      <c r="T42" s="18">
        <f>'Monthly P&amp;L'!T62</f>
        <v/>
      </c>
      <c r="U42" s="18">
        <f>'Monthly P&amp;L'!U62</f>
        <v/>
      </c>
      <c r="V42" s="18">
        <f>'Monthly P&amp;L'!V62</f>
        <v/>
      </c>
      <c r="W42" s="18">
        <f>'Monthly P&amp;L'!W62</f>
        <v/>
      </c>
      <c r="X42" s="18">
        <f>'Monthly P&amp;L'!X62</f>
        <v/>
      </c>
      <c r="Y42" s="18">
        <f>'Monthly P&amp;L'!Y62</f>
        <v/>
      </c>
      <c r="Z42" s="18">
        <f>'Monthly P&amp;L'!Z62</f>
        <v/>
      </c>
      <c r="AA42" s="18">
        <f>'Monthly P&amp;L'!AA62</f>
        <v/>
      </c>
      <c r="AB42" s="18">
        <f>'Monthly P&amp;L'!AB62</f>
        <v/>
      </c>
      <c r="AC42" s="18">
        <f>'Monthly P&amp;L'!AC62</f>
        <v/>
      </c>
      <c r="AD42" s="18">
        <f>'Monthly P&amp;L'!AD62</f>
        <v/>
      </c>
      <c r="AE42" s="18">
        <f>'Monthly P&amp;L'!AE62</f>
        <v/>
      </c>
      <c r="AF42" s="18">
        <f>'Monthly P&amp;L'!AF62</f>
        <v/>
      </c>
      <c r="AG42" s="18">
        <f>'Monthly P&amp;L'!AG62</f>
        <v/>
      </c>
      <c r="AH42" s="18">
        <f>'Monthly P&amp;L'!AH62</f>
        <v/>
      </c>
      <c r="AI42" s="18">
        <f>'Monthly P&amp;L'!AI62</f>
        <v/>
      </c>
      <c r="AJ42" s="18">
        <f>'Monthly P&amp;L'!AJ62</f>
        <v/>
      </c>
      <c r="AK42" s="18">
        <f>'Monthly P&amp;L'!AK62</f>
        <v/>
      </c>
      <c r="AL42" s="18">
        <f>'Monthly P&amp;L'!AL62</f>
        <v/>
      </c>
      <c r="AM42" s="18">
        <f>'Monthly P&amp;L'!AM62</f>
        <v/>
      </c>
      <c r="AN42" s="18">
        <f>'Monthly P&amp;L'!AN62</f>
        <v/>
      </c>
      <c r="AO42" s="18">
        <f>'Monthly P&amp;L'!AO62</f>
        <v/>
      </c>
      <c r="AP42" s="18">
        <f>'Monthly P&amp;L'!AP62</f>
        <v/>
      </c>
      <c r="AQ42" s="18">
        <f>'Monthly P&amp;L'!AQ62</f>
        <v/>
      </c>
      <c r="AR42" s="18">
        <f>'Monthly P&amp;L'!AR62</f>
        <v/>
      </c>
      <c r="AS42" s="18">
        <f>'Monthly P&amp;L'!AS62</f>
        <v/>
      </c>
      <c r="AT42" s="18">
        <f>'Monthly P&amp;L'!AT62</f>
        <v/>
      </c>
      <c r="AU42" s="18">
        <f>'Monthly P&amp;L'!AU62</f>
        <v/>
      </c>
      <c r="AV42" s="18">
        <f>'Monthly P&amp;L'!AV62</f>
        <v/>
      </c>
      <c r="AW42" s="18">
        <f>'Monthly P&amp;L'!AW62</f>
        <v/>
      </c>
      <c r="AX42" s="18">
        <f>'Monthly P&amp;L'!AX62</f>
        <v/>
      </c>
      <c r="AY42" s="18">
        <f>'Monthly P&amp;L'!AY62</f>
        <v/>
      </c>
      <c r="AZ42" s="18">
        <f>'Monthly P&amp;L'!AZ62</f>
        <v/>
      </c>
      <c r="BA42" s="18">
        <f>'Monthly P&amp;L'!BA62</f>
        <v/>
      </c>
    </row>
    <row r="43">
      <c r="A43" s="3" t="inlineStr">
        <is>
          <t xml:space="preserve">  Upstash Redis (caching)</t>
        </is>
      </c>
      <c r="B43" s="18">
        <f>'Monthly P&amp;L'!B63</f>
        <v/>
      </c>
      <c r="C43" s="18">
        <f>'Monthly P&amp;L'!C63</f>
        <v/>
      </c>
      <c r="D43" s="18">
        <f>'Monthly P&amp;L'!D63</f>
        <v/>
      </c>
      <c r="E43" s="18">
        <f>'Monthly P&amp;L'!E63</f>
        <v/>
      </c>
      <c r="F43" s="18">
        <f>'Monthly P&amp;L'!F63</f>
        <v/>
      </c>
      <c r="G43" s="18">
        <f>'Monthly P&amp;L'!G63</f>
        <v/>
      </c>
      <c r="H43" s="18">
        <f>'Monthly P&amp;L'!H63</f>
        <v/>
      </c>
      <c r="I43" s="18">
        <f>'Monthly P&amp;L'!I63</f>
        <v/>
      </c>
      <c r="J43" s="18">
        <f>'Monthly P&amp;L'!J63</f>
        <v/>
      </c>
      <c r="K43" s="18">
        <f>'Monthly P&amp;L'!K63</f>
        <v/>
      </c>
      <c r="L43" s="18">
        <f>'Monthly P&amp;L'!L63</f>
        <v/>
      </c>
      <c r="M43" s="18">
        <f>'Monthly P&amp;L'!M63</f>
        <v/>
      </c>
      <c r="N43" s="18">
        <f>'Monthly P&amp;L'!N63</f>
        <v/>
      </c>
      <c r="O43" s="18">
        <f>'Monthly P&amp;L'!O63</f>
        <v/>
      </c>
      <c r="P43" s="18">
        <f>'Monthly P&amp;L'!P63</f>
        <v/>
      </c>
      <c r="Q43" s="18">
        <f>'Monthly P&amp;L'!Q63</f>
        <v/>
      </c>
      <c r="R43" s="18">
        <f>'Monthly P&amp;L'!R63</f>
        <v/>
      </c>
      <c r="S43" s="18">
        <f>'Monthly P&amp;L'!S63</f>
        <v/>
      </c>
      <c r="T43" s="18">
        <f>'Monthly P&amp;L'!T63</f>
        <v/>
      </c>
      <c r="U43" s="18">
        <f>'Monthly P&amp;L'!U63</f>
        <v/>
      </c>
      <c r="V43" s="18">
        <f>'Monthly P&amp;L'!V63</f>
        <v/>
      </c>
      <c r="W43" s="18">
        <f>'Monthly P&amp;L'!W63</f>
        <v/>
      </c>
      <c r="X43" s="18">
        <f>'Monthly P&amp;L'!X63</f>
        <v/>
      </c>
      <c r="Y43" s="18">
        <f>'Monthly P&amp;L'!Y63</f>
        <v/>
      </c>
      <c r="Z43" s="18">
        <f>'Monthly P&amp;L'!Z63</f>
        <v/>
      </c>
      <c r="AA43" s="18">
        <f>'Monthly P&amp;L'!AA63</f>
        <v/>
      </c>
      <c r="AB43" s="18">
        <f>'Monthly P&amp;L'!AB63</f>
        <v/>
      </c>
      <c r="AC43" s="18">
        <f>'Monthly P&amp;L'!AC63</f>
        <v/>
      </c>
      <c r="AD43" s="18">
        <f>'Monthly P&amp;L'!AD63</f>
        <v/>
      </c>
      <c r="AE43" s="18">
        <f>'Monthly P&amp;L'!AE63</f>
        <v/>
      </c>
      <c r="AF43" s="18">
        <f>'Monthly P&amp;L'!AF63</f>
        <v/>
      </c>
      <c r="AG43" s="18">
        <f>'Monthly P&amp;L'!AG63</f>
        <v/>
      </c>
      <c r="AH43" s="18">
        <f>'Monthly P&amp;L'!AH63</f>
        <v/>
      </c>
      <c r="AI43" s="18">
        <f>'Monthly P&amp;L'!AI63</f>
        <v/>
      </c>
      <c r="AJ43" s="18">
        <f>'Monthly P&amp;L'!AJ63</f>
        <v/>
      </c>
      <c r="AK43" s="18">
        <f>'Monthly P&amp;L'!AK63</f>
        <v/>
      </c>
      <c r="AL43" s="18">
        <f>'Monthly P&amp;L'!AL63</f>
        <v/>
      </c>
      <c r="AM43" s="18">
        <f>'Monthly P&amp;L'!AM63</f>
        <v/>
      </c>
      <c r="AN43" s="18">
        <f>'Monthly P&amp;L'!AN63</f>
        <v/>
      </c>
      <c r="AO43" s="18">
        <f>'Monthly P&amp;L'!AO63</f>
        <v/>
      </c>
      <c r="AP43" s="18">
        <f>'Monthly P&amp;L'!AP63</f>
        <v/>
      </c>
      <c r="AQ43" s="18">
        <f>'Monthly P&amp;L'!AQ63</f>
        <v/>
      </c>
      <c r="AR43" s="18">
        <f>'Monthly P&amp;L'!AR63</f>
        <v/>
      </c>
      <c r="AS43" s="18">
        <f>'Monthly P&amp;L'!AS63</f>
        <v/>
      </c>
      <c r="AT43" s="18">
        <f>'Monthly P&amp;L'!AT63</f>
        <v/>
      </c>
      <c r="AU43" s="18">
        <f>'Monthly P&amp;L'!AU63</f>
        <v/>
      </c>
      <c r="AV43" s="18">
        <f>'Monthly P&amp;L'!AV63</f>
        <v/>
      </c>
      <c r="AW43" s="18">
        <f>'Monthly P&amp;L'!AW63</f>
        <v/>
      </c>
      <c r="AX43" s="18">
        <f>'Monthly P&amp;L'!AX63</f>
        <v/>
      </c>
      <c r="AY43" s="18">
        <f>'Monthly P&amp;L'!AY63</f>
        <v/>
      </c>
      <c r="AZ43" s="18">
        <f>'Monthly P&amp;L'!AZ63</f>
        <v/>
      </c>
      <c r="BA43" s="18">
        <f>'Monthly P&amp;L'!BA63</f>
        <v/>
      </c>
    </row>
    <row r="44">
      <c r="A44" s="3" t="inlineStr">
        <is>
          <t xml:space="preserve">  PostHog analytics</t>
        </is>
      </c>
      <c r="B44" s="18">
        <f>'Monthly P&amp;L'!B64</f>
        <v/>
      </c>
      <c r="C44" s="18">
        <f>'Monthly P&amp;L'!C64</f>
        <v/>
      </c>
      <c r="D44" s="18">
        <f>'Monthly P&amp;L'!D64</f>
        <v/>
      </c>
      <c r="E44" s="18">
        <f>'Monthly P&amp;L'!E64</f>
        <v/>
      </c>
      <c r="F44" s="18">
        <f>'Monthly P&amp;L'!F64</f>
        <v/>
      </c>
      <c r="G44" s="18">
        <f>'Monthly P&amp;L'!G64</f>
        <v/>
      </c>
      <c r="H44" s="18">
        <f>'Monthly P&amp;L'!H64</f>
        <v/>
      </c>
      <c r="I44" s="18">
        <f>'Monthly P&amp;L'!I64</f>
        <v/>
      </c>
      <c r="J44" s="18">
        <f>'Monthly P&amp;L'!J64</f>
        <v/>
      </c>
      <c r="K44" s="18">
        <f>'Monthly P&amp;L'!K64</f>
        <v/>
      </c>
      <c r="L44" s="18">
        <f>'Monthly P&amp;L'!L64</f>
        <v/>
      </c>
      <c r="M44" s="18">
        <f>'Monthly P&amp;L'!M64</f>
        <v/>
      </c>
      <c r="N44" s="18">
        <f>'Monthly P&amp;L'!N64</f>
        <v/>
      </c>
      <c r="O44" s="18">
        <f>'Monthly P&amp;L'!O64</f>
        <v/>
      </c>
      <c r="P44" s="18">
        <f>'Monthly P&amp;L'!P64</f>
        <v/>
      </c>
      <c r="Q44" s="18">
        <f>'Monthly P&amp;L'!Q64</f>
        <v/>
      </c>
      <c r="R44" s="18">
        <f>'Monthly P&amp;L'!R64</f>
        <v/>
      </c>
      <c r="S44" s="18">
        <f>'Monthly P&amp;L'!S64</f>
        <v/>
      </c>
      <c r="T44" s="18">
        <f>'Monthly P&amp;L'!T64</f>
        <v/>
      </c>
      <c r="U44" s="18">
        <f>'Monthly P&amp;L'!U64</f>
        <v/>
      </c>
      <c r="V44" s="18">
        <f>'Monthly P&amp;L'!V64</f>
        <v/>
      </c>
      <c r="W44" s="18">
        <f>'Monthly P&amp;L'!W64</f>
        <v/>
      </c>
      <c r="X44" s="18">
        <f>'Monthly P&amp;L'!X64</f>
        <v/>
      </c>
      <c r="Y44" s="18">
        <f>'Monthly P&amp;L'!Y64</f>
        <v/>
      </c>
      <c r="Z44" s="18">
        <f>'Monthly P&amp;L'!Z64</f>
        <v/>
      </c>
      <c r="AA44" s="18">
        <f>'Monthly P&amp;L'!AA64</f>
        <v/>
      </c>
      <c r="AB44" s="18">
        <f>'Monthly P&amp;L'!AB64</f>
        <v/>
      </c>
      <c r="AC44" s="18">
        <f>'Monthly P&amp;L'!AC64</f>
        <v/>
      </c>
      <c r="AD44" s="18">
        <f>'Monthly P&amp;L'!AD64</f>
        <v/>
      </c>
      <c r="AE44" s="18">
        <f>'Monthly P&amp;L'!AE64</f>
        <v/>
      </c>
      <c r="AF44" s="18">
        <f>'Monthly P&amp;L'!AF64</f>
        <v/>
      </c>
      <c r="AG44" s="18">
        <f>'Monthly P&amp;L'!AG64</f>
        <v/>
      </c>
      <c r="AH44" s="18">
        <f>'Monthly P&amp;L'!AH64</f>
        <v/>
      </c>
      <c r="AI44" s="18">
        <f>'Monthly P&amp;L'!AI64</f>
        <v/>
      </c>
      <c r="AJ44" s="18">
        <f>'Monthly P&amp;L'!AJ64</f>
        <v/>
      </c>
      <c r="AK44" s="18">
        <f>'Monthly P&amp;L'!AK64</f>
        <v/>
      </c>
      <c r="AL44" s="18">
        <f>'Monthly P&amp;L'!AL64</f>
        <v/>
      </c>
      <c r="AM44" s="18">
        <f>'Monthly P&amp;L'!AM64</f>
        <v/>
      </c>
      <c r="AN44" s="18">
        <f>'Monthly P&amp;L'!AN64</f>
        <v/>
      </c>
      <c r="AO44" s="18">
        <f>'Monthly P&amp;L'!AO64</f>
        <v/>
      </c>
      <c r="AP44" s="18">
        <f>'Monthly P&amp;L'!AP64</f>
        <v/>
      </c>
      <c r="AQ44" s="18">
        <f>'Monthly P&amp;L'!AQ64</f>
        <v/>
      </c>
      <c r="AR44" s="18">
        <f>'Monthly P&amp;L'!AR64</f>
        <v/>
      </c>
      <c r="AS44" s="18">
        <f>'Monthly P&amp;L'!AS64</f>
        <v/>
      </c>
      <c r="AT44" s="18">
        <f>'Monthly P&amp;L'!AT64</f>
        <v/>
      </c>
      <c r="AU44" s="18">
        <f>'Monthly P&amp;L'!AU64</f>
        <v/>
      </c>
      <c r="AV44" s="18">
        <f>'Monthly P&amp;L'!AV64</f>
        <v/>
      </c>
      <c r="AW44" s="18">
        <f>'Monthly P&amp;L'!AW64</f>
        <v/>
      </c>
      <c r="AX44" s="18">
        <f>'Monthly P&amp;L'!AX64</f>
        <v/>
      </c>
      <c r="AY44" s="18">
        <f>'Monthly P&amp;L'!AY64</f>
        <v/>
      </c>
      <c r="AZ44" s="18">
        <f>'Monthly P&amp;L'!AZ64</f>
        <v/>
      </c>
      <c r="BA44" s="18">
        <f>'Monthly P&amp;L'!BA64</f>
        <v/>
      </c>
    </row>
    <row r="45">
      <c r="A45" s="3" t="inlineStr">
        <is>
          <t xml:space="preserve">  Misc SaaS + overages</t>
        </is>
      </c>
      <c r="B45" s="18">
        <f>'Monthly P&amp;L'!B65</f>
        <v/>
      </c>
      <c r="C45" s="18">
        <f>'Monthly P&amp;L'!C65</f>
        <v/>
      </c>
      <c r="D45" s="18">
        <f>'Monthly P&amp;L'!D65</f>
        <v/>
      </c>
      <c r="E45" s="18">
        <f>'Monthly P&amp;L'!E65</f>
        <v/>
      </c>
      <c r="F45" s="18">
        <f>'Monthly P&amp;L'!F65</f>
        <v/>
      </c>
      <c r="G45" s="18">
        <f>'Monthly P&amp;L'!G65</f>
        <v/>
      </c>
      <c r="H45" s="18">
        <f>'Monthly P&amp;L'!H65</f>
        <v/>
      </c>
      <c r="I45" s="18">
        <f>'Monthly P&amp;L'!I65</f>
        <v/>
      </c>
      <c r="J45" s="18">
        <f>'Monthly P&amp;L'!J65</f>
        <v/>
      </c>
      <c r="K45" s="18">
        <f>'Monthly P&amp;L'!K65</f>
        <v/>
      </c>
      <c r="L45" s="18">
        <f>'Monthly P&amp;L'!L65</f>
        <v/>
      </c>
      <c r="M45" s="18">
        <f>'Monthly P&amp;L'!M65</f>
        <v/>
      </c>
      <c r="N45" s="18">
        <f>'Monthly P&amp;L'!N65</f>
        <v/>
      </c>
      <c r="O45" s="18">
        <f>'Monthly P&amp;L'!O65</f>
        <v/>
      </c>
      <c r="P45" s="18">
        <f>'Monthly P&amp;L'!P65</f>
        <v/>
      </c>
      <c r="Q45" s="18">
        <f>'Monthly P&amp;L'!Q65</f>
        <v/>
      </c>
      <c r="R45" s="18">
        <f>'Monthly P&amp;L'!R65</f>
        <v/>
      </c>
      <c r="S45" s="18">
        <f>'Monthly P&amp;L'!S65</f>
        <v/>
      </c>
      <c r="T45" s="18">
        <f>'Monthly P&amp;L'!T65</f>
        <v/>
      </c>
      <c r="U45" s="18">
        <f>'Monthly P&amp;L'!U65</f>
        <v/>
      </c>
      <c r="V45" s="18">
        <f>'Monthly P&amp;L'!V65</f>
        <v/>
      </c>
      <c r="W45" s="18">
        <f>'Monthly P&amp;L'!W65</f>
        <v/>
      </c>
      <c r="X45" s="18">
        <f>'Monthly P&amp;L'!X65</f>
        <v/>
      </c>
      <c r="Y45" s="18">
        <f>'Monthly P&amp;L'!Y65</f>
        <v/>
      </c>
      <c r="Z45" s="18">
        <f>'Monthly P&amp;L'!Z65</f>
        <v/>
      </c>
      <c r="AA45" s="18">
        <f>'Monthly P&amp;L'!AA65</f>
        <v/>
      </c>
      <c r="AB45" s="18">
        <f>'Monthly P&amp;L'!AB65</f>
        <v/>
      </c>
      <c r="AC45" s="18">
        <f>'Monthly P&amp;L'!AC65</f>
        <v/>
      </c>
      <c r="AD45" s="18">
        <f>'Monthly P&amp;L'!AD65</f>
        <v/>
      </c>
      <c r="AE45" s="18">
        <f>'Monthly P&amp;L'!AE65</f>
        <v/>
      </c>
      <c r="AF45" s="18">
        <f>'Monthly P&amp;L'!AF65</f>
        <v/>
      </c>
      <c r="AG45" s="18">
        <f>'Monthly P&amp;L'!AG65</f>
        <v/>
      </c>
      <c r="AH45" s="18">
        <f>'Monthly P&amp;L'!AH65</f>
        <v/>
      </c>
      <c r="AI45" s="18">
        <f>'Monthly P&amp;L'!AI65</f>
        <v/>
      </c>
      <c r="AJ45" s="18">
        <f>'Monthly P&amp;L'!AJ65</f>
        <v/>
      </c>
      <c r="AK45" s="18">
        <f>'Monthly P&amp;L'!AK65</f>
        <v/>
      </c>
      <c r="AL45" s="18">
        <f>'Monthly P&amp;L'!AL65</f>
        <v/>
      </c>
      <c r="AM45" s="18">
        <f>'Monthly P&amp;L'!AM65</f>
        <v/>
      </c>
      <c r="AN45" s="18">
        <f>'Monthly P&amp;L'!AN65</f>
        <v/>
      </c>
      <c r="AO45" s="18">
        <f>'Monthly P&amp;L'!AO65</f>
        <v/>
      </c>
      <c r="AP45" s="18">
        <f>'Monthly P&amp;L'!AP65</f>
        <v/>
      </c>
      <c r="AQ45" s="18">
        <f>'Monthly P&amp;L'!AQ65</f>
        <v/>
      </c>
      <c r="AR45" s="18">
        <f>'Monthly P&amp;L'!AR65</f>
        <v/>
      </c>
      <c r="AS45" s="18">
        <f>'Monthly P&amp;L'!AS65</f>
        <v/>
      </c>
      <c r="AT45" s="18">
        <f>'Monthly P&amp;L'!AT65</f>
        <v/>
      </c>
      <c r="AU45" s="18">
        <f>'Monthly P&amp;L'!AU65</f>
        <v/>
      </c>
      <c r="AV45" s="18">
        <f>'Monthly P&amp;L'!AV65</f>
        <v/>
      </c>
      <c r="AW45" s="18">
        <f>'Monthly P&amp;L'!AW65</f>
        <v/>
      </c>
      <c r="AX45" s="18">
        <f>'Monthly P&amp;L'!AX65</f>
        <v/>
      </c>
      <c r="AY45" s="18">
        <f>'Monthly P&amp;L'!AY65</f>
        <v/>
      </c>
      <c r="AZ45" s="18">
        <f>'Monthly P&amp;L'!AZ65</f>
        <v/>
      </c>
      <c r="BA45" s="18">
        <f>'Monthly P&amp;L'!BA65</f>
        <v/>
      </c>
    </row>
    <row r="46">
      <c r="A46" s="3" t="inlineStr">
        <is>
          <t xml:space="preserve">  Treuhand / accounting</t>
        </is>
      </c>
      <c r="B46" s="18">
        <f>'Monthly P&amp;L'!B66</f>
        <v/>
      </c>
      <c r="C46" s="18">
        <f>'Monthly P&amp;L'!C66</f>
        <v/>
      </c>
      <c r="D46" s="18">
        <f>'Monthly P&amp;L'!D66</f>
        <v/>
      </c>
      <c r="E46" s="18">
        <f>'Monthly P&amp;L'!E66</f>
        <v/>
      </c>
      <c r="F46" s="18">
        <f>'Monthly P&amp;L'!F66</f>
        <v/>
      </c>
      <c r="G46" s="18">
        <f>'Monthly P&amp;L'!G66</f>
        <v/>
      </c>
      <c r="H46" s="18">
        <f>'Monthly P&amp;L'!H66</f>
        <v/>
      </c>
      <c r="I46" s="18">
        <f>'Monthly P&amp;L'!I66</f>
        <v/>
      </c>
      <c r="J46" s="18">
        <f>'Monthly P&amp;L'!J66</f>
        <v/>
      </c>
      <c r="K46" s="18">
        <f>'Monthly P&amp;L'!K66</f>
        <v/>
      </c>
      <c r="L46" s="18">
        <f>'Monthly P&amp;L'!L66</f>
        <v/>
      </c>
      <c r="M46" s="18">
        <f>'Monthly P&amp;L'!M66</f>
        <v/>
      </c>
      <c r="N46" s="18">
        <f>'Monthly P&amp;L'!N66</f>
        <v/>
      </c>
      <c r="O46" s="18">
        <f>'Monthly P&amp;L'!O66</f>
        <v/>
      </c>
      <c r="P46" s="18">
        <f>'Monthly P&amp;L'!P66</f>
        <v/>
      </c>
      <c r="Q46" s="18">
        <f>'Monthly P&amp;L'!Q66</f>
        <v/>
      </c>
      <c r="R46" s="18">
        <f>'Monthly P&amp;L'!R66</f>
        <v/>
      </c>
      <c r="S46" s="18">
        <f>'Monthly P&amp;L'!S66</f>
        <v/>
      </c>
      <c r="T46" s="18">
        <f>'Monthly P&amp;L'!T66</f>
        <v/>
      </c>
      <c r="U46" s="18">
        <f>'Monthly P&amp;L'!U66</f>
        <v/>
      </c>
      <c r="V46" s="18">
        <f>'Monthly P&amp;L'!V66</f>
        <v/>
      </c>
      <c r="W46" s="18">
        <f>'Monthly P&amp;L'!W66</f>
        <v/>
      </c>
      <c r="X46" s="18">
        <f>'Monthly P&amp;L'!X66</f>
        <v/>
      </c>
      <c r="Y46" s="18">
        <f>'Monthly P&amp;L'!Y66</f>
        <v/>
      </c>
      <c r="Z46" s="18">
        <f>'Monthly P&amp;L'!Z66</f>
        <v/>
      </c>
      <c r="AA46" s="18">
        <f>'Monthly P&amp;L'!AA66</f>
        <v/>
      </c>
      <c r="AB46" s="18">
        <f>'Monthly P&amp;L'!AB66</f>
        <v/>
      </c>
      <c r="AC46" s="18">
        <f>'Monthly P&amp;L'!AC66</f>
        <v/>
      </c>
      <c r="AD46" s="18">
        <f>'Monthly P&amp;L'!AD66</f>
        <v/>
      </c>
      <c r="AE46" s="18">
        <f>'Monthly P&amp;L'!AE66</f>
        <v/>
      </c>
      <c r="AF46" s="18">
        <f>'Monthly P&amp;L'!AF66</f>
        <v/>
      </c>
      <c r="AG46" s="18">
        <f>'Monthly P&amp;L'!AG66</f>
        <v/>
      </c>
      <c r="AH46" s="18">
        <f>'Monthly P&amp;L'!AH66</f>
        <v/>
      </c>
      <c r="AI46" s="18">
        <f>'Monthly P&amp;L'!AI66</f>
        <v/>
      </c>
      <c r="AJ46" s="18">
        <f>'Monthly P&amp;L'!AJ66</f>
        <v/>
      </c>
      <c r="AK46" s="18">
        <f>'Monthly P&amp;L'!AK66</f>
        <v/>
      </c>
      <c r="AL46" s="18">
        <f>'Monthly P&amp;L'!AL66</f>
        <v/>
      </c>
      <c r="AM46" s="18">
        <f>'Monthly P&amp;L'!AM66</f>
        <v/>
      </c>
      <c r="AN46" s="18">
        <f>'Monthly P&amp;L'!AN66</f>
        <v/>
      </c>
      <c r="AO46" s="18">
        <f>'Monthly P&amp;L'!AO66</f>
        <v/>
      </c>
      <c r="AP46" s="18">
        <f>'Monthly P&amp;L'!AP66</f>
        <v/>
      </c>
      <c r="AQ46" s="18">
        <f>'Monthly P&amp;L'!AQ66</f>
        <v/>
      </c>
      <c r="AR46" s="18">
        <f>'Monthly P&amp;L'!AR66</f>
        <v/>
      </c>
      <c r="AS46" s="18">
        <f>'Monthly P&amp;L'!AS66</f>
        <v/>
      </c>
      <c r="AT46" s="18">
        <f>'Monthly P&amp;L'!AT66</f>
        <v/>
      </c>
      <c r="AU46" s="18">
        <f>'Monthly P&amp;L'!AU66</f>
        <v/>
      </c>
      <c r="AV46" s="18">
        <f>'Monthly P&amp;L'!AV66</f>
        <v/>
      </c>
      <c r="AW46" s="18">
        <f>'Monthly P&amp;L'!AW66</f>
        <v/>
      </c>
      <c r="AX46" s="18">
        <f>'Monthly P&amp;L'!AX66</f>
        <v/>
      </c>
      <c r="AY46" s="18">
        <f>'Monthly P&amp;L'!AY66</f>
        <v/>
      </c>
      <c r="AZ46" s="18">
        <f>'Monthly P&amp;L'!AZ66</f>
        <v/>
      </c>
      <c r="BA46" s="18">
        <f>'Monthly P&amp;L'!BA66</f>
        <v/>
      </c>
    </row>
    <row r="47">
      <c r="A47" s="5" t="inlineStr">
        <is>
          <t xml:space="preserve">  — Workspace</t>
        </is>
      </c>
    </row>
    <row r="48">
      <c r="A48" s="3" t="inlineStr">
        <is>
          <t xml:space="preserve">  Legal retainer</t>
        </is>
      </c>
      <c r="B48" s="18">
        <f>'Monthly P&amp;L'!B68</f>
        <v/>
      </c>
      <c r="C48" s="18">
        <f>'Monthly P&amp;L'!C68</f>
        <v/>
      </c>
      <c r="D48" s="18">
        <f>'Monthly P&amp;L'!D68</f>
        <v/>
      </c>
      <c r="E48" s="18">
        <f>'Monthly P&amp;L'!E68</f>
        <v/>
      </c>
      <c r="F48" s="18">
        <f>'Monthly P&amp;L'!F68</f>
        <v/>
      </c>
      <c r="G48" s="18">
        <f>'Monthly P&amp;L'!G68</f>
        <v/>
      </c>
      <c r="H48" s="18">
        <f>'Monthly P&amp;L'!H68</f>
        <v/>
      </c>
      <c r="I48" s="18">
        <f>'Monthly P&amp;L'!I68</f>
        <v/>
      </c>
      <c r="J48" s="18">
        <f>'Monthly P&amp;L'!J68</f>
        <v/>
      </c>
      <c r="K48" s="18">
        <f>'Monthly P&amp;L'!K68</f>
        <v/>
      </c>
      <c r="L48" s="18">
        <f>'Monthly P&amp;L'!L68</f>
        <v/>
      </c>
      <c r="M48" s="18">
        <f>'Monthly P&amp;L'!M68</f>
        <v/>
      </c>
      <c r="N48" s="18">
        <f>'Monthly P&amp;L'!N68</f>
        <v/>
      </c>
      <c r="O48" s="18">
        <f>'Monthly P&amp;L'!O68</f>
        <v/>
      </c>
      <c r="P48" s="18">
        <f>'Monthly P&amp;L'!P68</f>
        <v/>
      </c>
      <c r="Q48" s="18">
        <f>'Monthly P&amp;L'!Q68</f>
        <v/>
      </c>
      <c r="R48" s="18">
        <f>'Monthly P&amp;L'!R68</f>
        <v/>
      </c>
      <c r="S48" s="18">
        <f>'Monthly P&amp;L'!S68</f>
        <v/>
      </c>
      <c r="T48" s="18">
        <f>'Monthly P&amp;L'!T68</f>
        <v/>
      </c>
      <c r="U48" s="18">
        <f>'Monthly P&amp;L'!U68</f>
        <v/>
      </c>
      <c r="V48" s="18">
        <f>'Monthly P&amp;L'!V68</f>
        <v/>
      </c>
      <c r="W48" s="18">
        <f>'Monthly P&amp;L'!W68</f>
        <v/>
      </c>
      <c r="X48" s="18">
        <f>'Monthly P&amp;L'!X68</f>
        <v/>
      </c>
      <c r="Y48" s="18">
        <f>'Monthly P&amp;L'!Y68</f>
        <v/>
      </c>
      <c r="Z48" s="18">
        <f>'Monthly P&amp;L'!Z68</f>
        <v/>
      </c>
      <c r="AA48" s="18">
        <f>'Monthly P&amp;L'!AA68</f>
        <v/>
      </c>
      <c r="AB48" s="18">
        <f>'Monthly P&amp;L'!AB68</f>
        <v/>
      </c>
      <c r="AC48" s="18">
        <f>'Monthly P&amp;L'!AC68</f>
        <v/>
      </c>
      <c r="AD48" s="18">
        <f>'Monthly P&amp;L'!AD68</f>
        <v/>
      </c>
      <c r="AE48" s="18">
        <f>'Monthly P&amp;L'!AE68</f>
        <v/>
      </c>
      <c r="AF48" s="18">
        <f>'Monthly P&amp;L'!AF68</f>
        <v/>
      </c>
      <c r="AG48" s="18">
        <f>'Monthly P&amp;L'!AG68</f>
        <v/>
      </c>
      <c r="AH48" s="18">
        <f>'Monthly P&amp;L'!AH68</f>
        <v/>
      </c>
      <c r="AI48" s="18">
        <f>'Monthly P&amp;L'!AI68</f>
        <v/>
      </c>
      <c r="AJ48" s="18">
        <f>'Monthly P&amp;L'!AJ68</f>
        <v/>
      </c>
      <c r="AK48" s="18">
        <f>'Monthly P&amp;L'!AK68</f>
        <v/>
      </c>
      <c r="AL48" s="18">
        <f>'Monthly P&amp;L'!AL68</f>
        <v/>
      </c>
      <c r="AM48" s="18">
        <f>'Monthly P&amp;L'!AM68</f>
        <v/>
      </c>
      <c r="AN48" s="18">
        <f>'Monthly P&amp;L'!AN68</f>
        <v/>
      </c>
      <c r="AO48" s="18">
        <f>'Monthly P&amp;L'!AO68</f>
        <v/>
      </c>
      <c r="AP48" s="18">
        <f>'Monthly P&amp;L'!AP68</f>
        <v/>
      </c>
      <c r="AQ48" s="18">
        <f>'Monthly P&amp;L'!AQ68</f>
        <v/>
      </c>
      <c r="AR48" s="18">
        <f>'Monthly P&amp;L'!AR68</f>
        <v/>
      </c>
      <c r="AS48" s="18">
        <f>'Monthly P&amp;L'!AS68</f>
        <v/>
      </c>
      <c r="AT48" s="18">
        <f>'Monthly P&amp;L'!AT68</f>
        <v/>
      </c>
      <c r="AU48" s="18">
        <f>'Monthly P&amp;L'!AU68</f>
        <v/>
      </c>
      <c r="AV48" s="18">
        <f>'Monthly P&amp;L'!AV68</f>
        <v/>
      </c>
      <c r="AW48" s="18">
        <f>'Monthly P&amp;L'!AW68</f>
        <v/>
      </c>
      <c r="AX48" s="18">
        <f>'Monthly P&amp;L'!AX68</f>
        <v/>
      </c>
      <c r="AY48" s="18">
        <f>'Monthly P&amp;L'!AY68</f>
        <v/>
      </c>
      <c r="AZ48" s="18">
        <f>'Monthly P&amp;L'!AZ68</f>
        <v/>
      </c>
      <c r="BA48" s="18">
        <f>'Monthly P&amp;L'!BA68</f>
        <v/>
      </c>
    </row>
    <row r="49">
      <c r="A49" s="3" t="inlineStr">
        <is>
          <t xml:space="preserve">  D&amp;O insurance (CHF 1M cover)</t>
        </is>
      </c>
      <c r="B49" s="18">
        <f>'Monthly P&amp;L'!B69</f>
        <v/>
      </c>
      <c r="C49" s="18">
        <f>'Monthly P&amp;L'!C69</f>
        <v/>
      </c>
      <c r="D49" s="18">
        <f>'Monthly P&amp;L'!D69</f>
        <v/>
      </c>
      <c r="E49" s="18">
        <f>'Monthly P&amp;L'!E69</f>
        <v/>
      </c>
      <c r="F49" s="18">
        <f>'Monthly P&amp;L'!F69</f>
        <v/>
      </c>
      <c r="G49" s="18">
        <f>'Monthly P&amp;L'!G69</f>
        <v/>
      </c>
      <c r="H49" s="18">
        <f>'Monthly P&amp;L'!H69</f>
        <v/>
      </c>
      <c r="I49" s="18">
        <f>'Monthly P&amp;L'!I69</f>
        <v/>
      </c>
      <c r="J49" s="18">
        <f>'Monthly P&amp;L'!J69</f>
        <v/>
      </c>
      <c r="K49" s="18">
        <f>'Monthly P&amp;L'!K69</f>
        <v/>
      </c>
      <c r="L49" s="18">
        <f>'Monthly P&amp;L'!L69</f>
        <v/>
      </c>
      <c r="M49" s="18">
        <f>'Monthly P&amp;L'!M69</f>
        <v/>
      </c>
      <c r="N49" s="18">
        <f>'Monthly P&amp;L'!N69</f>
        <v/>
      </c>
      <c r="O49" s="18">
        <f>'Monthly P&amp;L'!O69</f>
        <v/>
      </c>
      <c r="P49" s="18">
        <f>'Monthly P&amp;L'!P69</f>
        <v/>
      </c>
      <c r="Q49" s="18">
        <f>'Monthly P&amp;L'!Q69</f>
        <v/>
      </c>
      <c r="R49" s="18">
        <f>'Monthly P&amp;L'!R69</f>
        <v/>
      </c>
      <c r="S49" s="18">
        <f>'Monthly P&amp;L'!S69</f>
        <v/>
      </c>
      <c r="T49" s="18">
        <f>'Monthly P&amp;L'!T69</f>
        <v/>
      </c>
      <c r="U49" s="18">
        <f>'Monthly P&amp;L'!U69</f>
        <v/>
      </c>
      <c r="V49" s="18">
        <f>'Monthly P&amp;L'!V69</f>
        <v/>
      </c>
      <c r="W49" s="18">
        <f>'Monthly P&amp;L'!W69</f>
        <v/>
      </c>
      <c r="X49" s="18">
        <f>'Monthly P&amp;L'!X69</f>
        <v/>
      </c>
      <c r="Y49" s="18">
        <f>'Monthly P&amp;L'!Y69</f>
        <v/>
      </c>
      <c r="Z49" s="18">
        <f>'Monthly P&amp;L'!Z69</f>
        <v/>
      </c>
      <c r="AA49" s="18">
        <f>'Monthly P&amp;L'!AA69</f>
        <v/>
      </c>
      <c r="AB49" s="18">
        <f>'Monthly P&amp;L'!AB69</f>
        <v/>
      </c>
      <c r="AC49" s="18">
        <f>'Monthly P&amp;L'!AC69</f>
        <v/>
      </c>
      <c r="AD49" s="18">
        <f>'Monthly P&amp;L'!AD69</f>
        <v/>
      </c>
      <c r="AE49" s="18">
        <f>'Monthly P&amp;L'!AE69</f>
        <v/>
      </c>
      <c r="AF49" s="18">
        <f>'Monthly P&amp;L'!AF69</f>
        <v/>
      </c>
      <c r="AG49" s="18">
        <f>'Monthly P&amp;L'!AG69</f>
        <v/>
      </c>
      <c r="AH49" s="18">
        <f>'Monthly P&amp;L'!AH69</f>
        <v/>
      </c>
      <c r="AI49" s="18">
        <f>'Monthly P&amp;L'!AI69</f>
        <v/>
      </c>
      <c r="AJ49" s="18">
        <f>'Monthly P&amp;L'!AJ69</f>
        <v/>
      </c>
      <c r="AK49" s="18">
        <f>'Monthly P&amp;L'!AK69</f>
        <v/>
      </c>
      <c r="AL49" s="18">
        <f>'Monthly P&amp;L'!AL69</f>
        <v/>
      </c>
      <c r="AM49" s="18">
        <f>'Monthly P&amp;L'!AM69</f>
        <v/>
      </c>
      <c r="AN49" s="18">
        <f>'Monthly P&amp;L'!AN69</f>
        <v/>
      </c>
      <c r="AO49" s="18">
        <f>'Monthly P&amp;L'!AO69</f>
        <v/>
      </c>
      <c r="AP49" s="18">
        <f>'Monthly P&amp;L'!AP69</f>
        <v/>
      </c>
      <c r="AQ49" s="18">
        <f>'Monthly P&amp;L'!AQ69</f>
        <v/>
      </c>
      <c r="AR49" s="18">
        <f>'Monthly P&amp;L'!AR69</f>
        <v/>
      </c>
      <c r="AS49" s="18">
        <f>'Monthly P&amp;L'!AS69</f>
        <v/>
      </c>
      <c r="AT49" s="18">
        <f>'Monthly P&amp;L'!AT69</f>
        <v/>
      </c>
      <c r="AU49" s="18">
        <f>'Monthly P&amp;L'!AU69</f>
        <v/>
      </c>
      <c r="AV49" s="18">
        <f>'Monthly P&amp;L'!AV69</f>
        <v/>
      </c>
      <c r="AW49" s="18">
        <f>'Monthly P&amp;L'!AW69</f>
        <v/>
      </c>
      <c r="AX49" s="18">
        <f>'Monthly P&amp;L'!AX69</f>
        <v/>
      </c>
      <c r="AY49" s="18">
        <f>'Monthly P&amp;L'!AY69</f>
        <v/>
      </c>
      <c r="AZ49" s="18">
        <f>'Monthly P&amp;L'!AZ69</f>
        <v/>
      </c>
      <c r="BA49" s="18">
        <f>'Monthly P&amp;L'!BA69</f>
        <v/>
      </c>
    </row>
    <row r="50">
      <c r="A50" s="5" t="inlineStr">
        <is>
          <t xml:space="preserve">  — Sales &amp; Marketing</t>
        </is>
      </c>
    </row>
    <row r="51">
      <c r="A51" s="3" t="inlineStr">
        <is>
          <t xml:space="preserve">  Cyber insurance</t>
        </is>
      </c>
      <c r="B51" s="18">
        <f>'Monthly P&amp;L'!B71</f>
        <v/>
      </c>
      <c r="C51" s="18">
        <f>'Monthly P&amp;L'!C71</f>
        <v/>
      </c>
      <c r="D51" s="18">
        <f>'Monthly P&amp;L'!D71</f>
        <v/>
      </c>
      <c r="E51" s="18">
        <f>'Monthly P&amp;L'!E71</f>
        <v/>
      </c>
      <c r="F51" s="18">
        <f>'Monthly P&amp;L'!F71</f>
        <v/>
      </c>
      <c r="G51" s="18">
        <f>'Monthly P&amp;L'!G71</f>
        <v/>
      </c>
      <c r="H51" s="18">
        <f>'Monthly P&amp;L'!H71</f>
        <v/>
      </c>
      <c r="I51" s="18">
        <f>'Monthly P&amp;L'!I71</f>
        <v/>
      </c>
      <c r="J51" s="18">
        <f>'Monthly P&amp;L'!J71</f>
        <v/>
      </c>
      <c r="K51" s="18">
        <f>'Monthly P&amp;L'!K71</f>
        <v/>
      </c>
      <c r="L51" s="18">
        <f>'Monthly P&amp;L'!L71</f>
        <v/>
      </c>
      <c r="M51" s="18">
        <f>'Monthly P&amp;L'!M71</f>
        <v/>
      </c>
      <c r="N51" s="18">
        <f>'Monthly P&amp;L'!N71</f>
        <v/>
      </c>
      <c r="O51" s="18">
        <f>'Monthly P&amp;L'!O71</f>
        <v/>
      </c>
      <c r="P51" s="18">
        <f>'Monthly P&amp;L'!P71</f>
        <v/>
      </c>
      <c r="Q51" s="18">
        <f>'Monthly P&amp;L'!Q71</f>
        <v/>
      </c>
      <c r="R51" s="18">
        <f>'Monthly P&amp;L'!R71</f>
        <v/>
      </c>
      <c r="S51" s="18">
        <f>'Monthly P&amp;L'!S71</f>
        <v/>
      </c>
      <c r="T51" s="18">
        <f>'Monthly P&amp;L'!T71</f>
        <v/>
      </c>
      <c r="U51" s="18">
        <f>'Monthly P&amp;L'!U71</f>
        <v/>
      </c>
      <c r="V51" s="18">
        <f>'Monthly P&amp;L'!V71</f>
        <v/>
      </c>
      <c r="W51" s="18">
        <f>'Monthly P&amp;L'!W71</f>
        <v/>
      </c>
      <c r="X51" s="18">
        <f>'Monthly P&amp;L'!X71</f>
        <v/>
      </c>
      <c r="Y51" s="18">
        <f>'Monthly P&amp;L'!Y71</f>
        <v/>
      </c>
      <c r="Z51" s="18">
        <f>'Monthly P&amp;L'!Z71</f>
        <v/>
      </c>
      <c r="AA51" s="18">
        <f>'Monthly P&amp;L'!AA71</f>
        <v/>
      </c>
      <c r="AB51" s="18">
        <f>'Monthly P&amp;L'!AB71</f>
        <v/>
      </c>
      <c r="AC51" s="18">
        <f>'Monthly P&amp;L'!AC71</f>
        <v/>
      </c>
      <c r="AD51" s="18">
        <f>'Monthly P&amp;L'!AD71</f>
        <v/>
      </c>
      <c r="AE51" s="18">
        <f>'Monthly P&amp;L'!AE71</f>
        <v/>
      </c>
      <c r="AF51" s="18">
        <f>'Monthly P&amp;L'!AF71</f>
        <v/>
      </c>
      <c r="AG51" s="18">
        <f>'Monthly P&amp;L'!AG71</f>
        <v/>
      </c>
      <c r="AH51" s="18">
        <f>'Monthly P&amp;L'!AH71</f>
        <v/>
      </c>
      <c r="AI51" s="18">
        <f>'Monthly P&amp;L'!AI71</f>
        <v/>
      </c>
      <c r="AJ51" s="18">
        <f>'Monthly P&amp;L'!AJ71</f>
        <v/>
      </c>
      <c r="AK51" s="18">
        <f>'Monthly P&amp;L'!AK71</f>
        <v/>
      </c>
      <c r="AL51" s="18">
        <f>'Monthly P&amp;L'!AL71</f>
        <v/>
      </c>
      <c r="AM51" s="18">
        <f>'Monthly P&amp;L'!AM71</f>
        <v/>
      </c>
      <c r="AN51" s="18">
        <f>'Monthly P&amp;L'!AN71</f>
        <v/>
      </c>
      <c r="AO51" s="18">
        <f>'Monthly P&amp;L'!AO71</f>
        <v/>
      </c>
      <c r="AP51" s="18">
        <f>'Monthly P&amp;L'!AP71</f>
        <v/>
      </c>
      <c r="AQ51" s="18">
        <f>'Monthly P&amp;L'!AQ71</f>
        <v/>
      </c>
      <c r="AR51" s="18">
        <f>'Monthly P&amp;L'!AR71</f>
        <v/>
      </c>
      <c r="AS51" s="18">
        <f>'Monthly P&amp;L'!AS71</f>
        <v/>
      </c>
      <c r="AT51" s="18">
        <f>'Monthly P&amp;L'!AT71</f>
        <v/>
      </c>
      <c r="AU51" s="18">
        <f>'Monthly P&amp;L'!AU71</f>
        <v/>
      </c>
      <c r="AV51" s="18">
        <f>'Monthly P&amp;L'!AV71</f>
        <v/>
      </c>
      <c r="AW51" s="18">
        <f>'Monthly P&amp;L'!AW71</f>
        <v/>
      </c>
      <c r="AX51" s="18">
        <f>'Monthly P&amp;L'!AX71</f>
        <v/>
      </c>
      <c r="AY51" s="18">
        <f>'Monthly P&amp;L'!AY71</f>
        <v/>
      </c>
      <c r="AZ51" s="18">
        <f>'Monthly P&amp;L'!AZ71</f>
        <v/>
      </c>
      <c r="BA51" s="18">
        <f>'Monthly P&amp;L'!BA71</f>
        <v/>
      </c>
    </row>
    <row r="52">
      <c r="A52" s="3" t="inlineStr">
        <is>
          <t xml:space="preserve">  General liability insurance</t>
        </is>
      </c>
      <c r="B52" s="18">
        <f>'Monthly P&amp;L'!B72</f>
        <v/>
      </c>
      <c r="C52" s="18">
        <f>'Monthly P&amp;L'!C72</f>
        <v/>
      </c>
      <c r="D52" s="18">
        <f>'Monthly P&amp;L'!D72</f>
        <v/>
      </c>
      <c r="E52" s="18">
        <f>'Monthly P&amp;L'!E72</f>
        <v/>
      </c>
      <c r="F52" s="18">
        <f>'Monthly P&amp;L'!F72</f>
        <v/>
      </c>
      <c r="G52" s="18">
        <f>'Monthly P&amp;L'!G72</f>
        <v/>
      </c>
      <c r="H52" s="18">
        <f>'Monthly P&amp;L'!H72</f>
        <v/>
      </c>
      <c r="I52" s="18">
        <f>'Monthly P&amp;L'!I72</f>
        <v/>
      </c>
      <c r="J52" s="18">
        <f>'Monthly P&amp;L'!J72</f>
        <v/>
      </c>
      <c r="K52" s="18">
        <f>'Monthly P&amp;L'!K72</f>
        <v/>
      </c>
      <c r="L52" s="18">
        <f>'Monthly P&amp;L'!L72</f>
        <v/>
      </c>
      <c r="M52" s="18">
        <f>'Monthly P&amp;L'!M72</f>
        <v/>
      </c>
      <c r="N52" s="18">
        <f>'Monthly P&amp;L'!N72</f>
        <v/>
      </c>
      <c r="O52" s="18">
        <f>'Monthly P&amp;L'!O72</f>
        <v/>
      </c>
      <c r="P52" s="18">
        <f>'Monthly P&amp;L'!P72</f>
        <v/>
      </c>
      <c r="Q52" s="18">
        <f>'Monthly P&amp;L'!Q72</f>
        <v/>
      </c>
      <c r="R52" s="18">
        <f>'Monthly P&amp;L'!R72</f>
        <v/>
      </c>
      <c r="S52" s="18">
        <f>'Monthly P&amp;L'!S72</f>
        <v/>
      </c>
      <c r="T52" s="18">
        <f>'Monthly P&amp;L'!T72</f>
        <v/>
      </c>
      <c r="U52" s="18">
        <f>'Monthly P&amp;L'!U72</f>
        <v/>
      </c>
      <c r="V52" s="18">
        <f>'Monthly P&amp;L'!V72</f>
        <v/>
      </c>
      <c r="W52" s="18">
        <f>'Monthly P&amp;L'!W72</f>
        <v/>
      </c>
      <c r="X52" s="18">
        <f>'Monthly P&amp;L'!X72</f>
        <v/>
      </c>
      <c r="Y52" s="18">
        <f>'Monthly P&amp;L'!Y72</f>
        <v/>
      </c>
      <c r="Z52" s="18">
        <f>'Monthly P&amp;L'!Z72</f>
        <v/>
      </c>
      <c r="AA52" s="18">
        <f>'Monthly P&amp;L'!AA72</f>
        <v/>
      </c>
      <c r="AB52" s="18">
        <f>'Monthly P&amp;L'!AB72</f>
        <v/>
      </c>
      <c r="AC52" s="18">
        <f>'Monthly P&amp;L'!AC72</f>
        <v/>
      </c>
      <c r="AD52" s="18">
        <f>'Monthly P&amp;L'!AD72</f>
        <v/>
      </c>
      <c r="AE52" s="18">
        <f>'Monthly P&amp;L'!AE72</f>
        <v/>
      </c>
      <c r="AF52" s="18">
        <f>'Monthly P&amp;L'!AF72</f>
        <v/>
      </c>
      <c r="AG52" s="18">
        <f>'Monthly P&amp;L'!AG72</f>
        <v/>
      </c>
      <c r="AH52" s="18">
        <f>'Monthly P&amp;L'!AH72</f>
        <v/>
      </c>
      <c r="AI52" s="18">
        <f>'Monthly P&amp;L'!AI72</f>
        <v/>
      </c>
      <c r="AJ52" s="18">
        <f>'Monthly P&amp;L'!AJ72</f>
        <v/>
      </c>
      <c r="AK52" s="18">
        <f>'Monthly P&amp;L'!AK72</f>
        <v/>
      </c>
      <c r="AL52" s="18">
        <f>'Monthly P&amp;L'!AL72</f>
        <v/>
      </c>
      <c r="AM52" s="18">
        <f>'Monthly P&amp;L'!AM72</f>
        <v/>
      </c>
      <c r="AN52" s="18">
        <f>'Monthly P&amp;L'!AN72</f>
        <v/>
      </c>
      <c r="AO52" s="18">
        <f>'Monthly P&amp;L'!AO72</f>
        <v/>
      </c>
      <c r="AP52" s="18">
        <f>'Monthly P&amp;L'!AP72</f>
        <v/>
      </c>
      <c r="AQ52" s="18">
        <f>'Monthly P&amp;L'!AQ72</f>
        <v/>
      </c>
      <c r="AR52" s="18">
        <f>'Monthly P&amp;L'!AR72</f>
        <v/>
      </c>
      <c r="AS52" s="18">
        <f>'Monthly P&amp;L'!AS72</f>
        <v/>
      </c>
      <c r="AT52" s="18">
        <f>'Monthly P&amp;L'!AT72</f>
        <v/>
      </c>
      <c r="AU52" s="18">
        <f>'Monthly P&amp;L'!AU72</f>
        <v/>
      </c>
      <c r="AV52" s="18">
        <f>'Monthly P&amp;L'!AV72</f>
        <v/>
      </c>
      <c r="AW52" s="18">
        <f>'Monthly P&amp;L'!AW72</f>
        <v/>
      </c>
      <c r="AX52" s="18">
        <f>'Monthly P&amp;L'!AX72</f>
        <v/>
      </c>
      <c r="AY52" s="18">
        <f>'Monthly P&amp;L'!AY72</f>
        <v/>
      </c>
      <c r="AZ52" s="18">
        <f>'Monthly P&amp;L'!AZ72</f>
        <v/>
      </c>
      <c r="BA52" s="18">
        <f>'Monthly P&amp;L'!BA72</f>
        <v/>
      </c>
    </row>
    <row r="53">
      <c r="A53" s="5" t="inlineStr">
        <is>
          <t xml:space="preserve">  — Variable &amp; Other</t>
        </is>
      </c>
    </row>
    <row r="54">
      <c r="A54" s="3" t="inlineStr">
        <is>
          <t xml:space="preserve">  Banking + FX (UBS/Wise)</t>
        </is>
      </c>
      <c r="B54" s="18">
        <f>'Monthly P&amp;L'!B74</f>
        <v/>
      </c>
      <c r="C54" s="18">
        <f>'Monthly P&amp;L'!C74</f>
        <v/>
      </c>
      <c r="D54" s="18">
        <f>'Monthly P&amp;L'!D74</f>
        <v/>
      </c>
      <c r="E54" s="18">
        <f>'Monthly P&amp;L'!E74</f>
        <v/>
      </c>
      <c r="F54" s="18">
        <f>'Monthly P&amp;L'!F74</f>
        <v/>
      </c>
      <c r="G54" s="18">
        <f>'Monthly P&amp;L'!G74</f>
        <v/>
      </c>
      <c r="H54" s="18">
        <f>'Monthly P&amp;L'!H74</f>
        <v/>
      </c>
      <c r="I54" s="18">
        <f>'Monthly P&amp;L'!I74</f>
        <v/>
      </c>
      <c r="J54" s="18">
        <f>'Monthly P&amp;L'!J74</f>
        <v/>
      </c>
      <c r="K54" s="18">
        <f>'Monthly P&amp;L'!K74</f>
        <v/>
      </c>
      <c r="L54" s="18">
        <f>'Monthly P&amp;L'!L74</f>
        <v/>
      </c>
      <c r="M54" s="18">
        <f>'Monthly P&amp;L'!M74</f>
        <v/>
      </c>
      <c r="N54" s="18">
        <f>'Monthly P&amp;L'!N74</f>
        <v/>
      </c>
      <c r="O54" s="18">
        <f>'Monthly P&amp;L'!O74</f>
        <v/>
      </c>
      <c r="P54" s="18">
        <f>'Monthly P&amp;L'!P74</f>
        <v/>
      </c>
      <c r="Q54" s="18">
        <f>'Monthly P&amp;L'!Q74</f>
        <v/>
      </c>
      <c r="R54" s="18">
        <f>'Monthly P&amp;L'!R74</f>
        <v/>
      </c>
      <c r="S54" s="18">
        <f>'Monthly P&amp;L'!S74</f>
        <v/>
      </c>
      <c r="T54" s="18">
        <f>'Monthly P&amp;L'!T74</f>
        <v/>
      </c>
      <c r="U54" s="18">
        <f>'Monthly P&amp;L'!U74</f>
        <v/>
      </c>
      <c r="V54" s="18">
        <f>'Monthly P&amp;L'!V74</f>
        <v/>
      </c>
      <c r="W54" s="18">
        <f>'Monthly P&amp;L'!W74</f>
        <v/>
      </c>
      <c r="X54" s="18">
        <f>'Monthly P&amp;L'!X74</f>
        <v/>
      </c>
      <c r="Y54" s="18">
        <f>'Monthly P&amp;L'!Y74</f>
        <v/>
      </c>
      <c r="Z54" s="18">
        <f>'Monthly P&amp;L'!Z74</f>
        <v/>
      </c>
      <c r="AA54" s="18">
        <f>'Monthly P&amp;L'!AA74</f>
        <v/>
      </c>
      <c r="AB54" s="18">
        <f>'Monthly P&amp;L'!AB74</f>
        <v/>
      </c>
      <c r="AC54" s="18">
        <f>'Monthly P&amp;L'!AC74</f>
        <v/>
      </c>
      <c r="AD54" s="18">
        <f>'Monthly P&amp;L'!AD74</f>
        <v/>
      </c>
      <c r="AE54" s="18">
        <f>'Monthly P&amp;L'!AE74</f>
        <v/>
      </c>
      <c r="AF54" s="18">
        <f>'Monthly P&amp;L'!AF74</f>
        <v/>
      </c>
      <c r="AG54" s="18">
        <f>'Monthly P&amp;L'!AG74</f>
        <v/>
      </c>
      <c r="AH54" s="18">
        <f>'Monthly P&amp;L'!AH74</f>
        <v/>
      </c>
      <c r="AI54" s="18">
        <f>'Monthly P&amp;L'!AI74</f>
        <v/>
      </c>
      <c r="AJ54" s="18">
        <f>'Monthly P&amp;L'!AJ74</f>
        <v/>
      </c>
      <c r="AK54" s="18">
        <f>'Monthly P&amp;L'!AK74</f>
        <v/>
      </c>
      <c r="AL54" s="18">
        <f>'Monthly P&amp;L'!AL74</f>
        <v/>
      </c>
      <c r="AM54" s="18">
        <f>'Monthly P&amp;L'!AM74</f>
        <v/>
      </c>
      <c r="AN54" s="18">
        <f>'Monthly P&amp;L'!AN74</f>
        <v/>
      </c>
      <c r="AO54" s="18">
        <f>'Monthly P&amp;L'!AO74</f>
        <v/>
      </c>
      <c r="AP54" s="18">
        <f>'Monthly P&amp;L'!AP74</f>
        <v/>
      </c>
      <c r="AQ54" s="18">
        <f>'Monthly P&amp;L'!AQ74</f>
        <v/>
      </c>
      <c r="AR54" s="18">
        <f>'Monthly P&amp;L'!AR74</f>
        <v/>
      </c>
      <c r="AS54" s="18">
        <f>'Monthly P&amp;L'!AS74</f>
        <v/>
      </c>
      <c r="AT54" s="18">
        <f>'Monthly P&amp;L'!AT74</f>
        <v/>
      </c>
      <c r="AU54" s="18">
        <f>'Monthly P&amp;L'!AU74</f>
        <v/>
      </c>
      <c r="AV54" s="18">
        <f>'Monthly P&amp;L'!AV74</f>
        <v/>
      </c>
      <c r="AW54" s="18">
        <f>'Monthly P&amp;L'!AW74</f>
        <v/>
      </c>
      <c r="AX54" s="18">
        <f>'Monthly P&amp;L'!AX74</f>
        <v/>
      </c>
      <c r="AY54" s="18">
        <f>'Monthly P&amp;L'!AY74</f>
        <v/>
      </c>
      <c r="AZ54" s="18">
        <f>'Monthly P&amp;L'!AZ74</f>
        <v/>
      </c>
      <c r="BA54" s="18">
        <f>'Monthly P&amp;L'!BA74</f>
        <v/>
      </c>
    </row>
    <row r="55">
      <c r="A55" s="3" t="inlineStr">
        <is>
          <t xml:space="preserve">  Internet (Sunrise 1Gbit)</t>
        </is>
      </c>
      <c r="B55" s="18">
        <f>'Monthly P&amp;L'!B75</f>
        <v/>
      </c>
      <c r="C55" s="18">
        <f>'Monthly P&amp;L'!C75</f>
        <v/>
      </c>
      <c r="D55" s="18">
        <f>'Monthly P&amp;L'!D75</f>
        <v/>
      </c>
      <c r="E55" s="18">
        <f>'Monthly P&amp;L'!E75</f>
        <v/>
      </c>
      <c r="F55" s="18">
        <f>'Monthly P&amp;L'!F75</f>
        <v/>
      </c>
      <c r="G55" s="18">
        <f>'Monthly P&amp;L'!G75</f>
        <v/>
      </c>
      <c r="H55" s="18">
        <f>'Monthly P&amp;L'!H75</f>
        <v/>
      </c>
      <c r="I55" s="18">
        <f>'Monthly P&amp;L'!I75</f>
        <v/>
      </c>
      <c r="J55" s="18">
        <f>'Monthly P&amp;L'!J75</f>
        <v/>
      </c>
      <c r="K55" s="18">
        <f>'Monthly P&amp;L'!K75</f>
        <v/>
      </c>
      <c r="L55" s="18">
        <f>'Monthly P&amp;L'!L75</f>
        <v/>
      </c>
      <c r="M55" s="18">
        <f>'Monthly P&amp;L'!M75</f>
        <v/>
      </c>
      <c r="N55" s="18">
        <f>'Monthly P&amp;L'!N75</f>
        <v/>
      </c>
      <c r="O55" s="18">
        <f>'Monthly P&amp;L'!O75</f>
        <v/>
      </c>
      <c r="P55" s="18">
        <f>'Monthly P&amp;L'!P75</f>
        <v/>
      </c>
      <c r="Q55" s="18">
        <f>'Monthly P&amp;L'!Q75</f>
        <v/>
      </c>
      <c r="R55" s="18">
        <f>'Monthly P&amp;L'!R75</f>
        <v/>
      </c>
      <c r="S55" s="18">
        <f>'Monthly P&amp;L'!S75</f>
        <v/>
      </c>
      <c r="T55" s="18">
        <f>'Monthly P&amp;L'!T75</f>
        <v/>
      </c>
      <c r="U55" s="18">
        <f>'Monthly P&amp;L'!U75</f>
        <v/>
      </c>
      <c r="V55" s="18">
        <f>'Monthly P&amp;L'!V75</f>
        <v/>
      </c>
      <c r="W55" s="18">
        <f>'Monthly P&amp;L'!W75</f>
        <v/>
      </c>
      <c r="X55" s="18">
        <f>'Monthly P&amp;L'!X75</f>
        <v/>
      </c>
      <c r="Y55" s="18">
        <f>'Monthly P&amp;L'!Y75</f>
        <v/>
      </c>
      <c r="Z55" s="18">
        <f>'Monthly P&amp;L'!Z75</f>
        <v/>
      </c>
      <c r="AA55" s="18">
        <f>'Monthly P&amp;L'!AA75</f>
        <v/>
      </c>
      <c r="AB55" s="18">
        <f>'Monthly P&amp;L'!AB75</f>
        <v/>
      </c>
      <c r="AC55" s="18">
        <f>'Monthly P&amp;L'!AC75</f>
        <v/>
      </c>
      <c r="AD55" s="18">
        <f>'Monthly P&amp;L'!AD75</f>
        <v/>
      </c>
      <c r="AE55" s="18">
        <f>'Monthly P&amp;L'!AE75</f>
        <v/>
      </c>
      <c r="AF55" s="18">
        <f>'Monthly P&amp;L'!AF75</f>
        <v/>
      </c>
      <c r="AG55" s="18">
        <f>'Monthly P&amp;L'!AG75</f>
        <v/>
      </c>
      <c r="AH55" s="18">
        <f>'Monthly P&amp;L'!AH75</f>
        <v/>
      </c>
      <c r="AI55" s="18">
        <f>'Monthly P&amp;L'!AI75</f>
        <v/>
      </c>
      <c r="AJ55" s="18">
        <f>'Monthly P&amp;L'!AJ75</f>
        <v/>
      </c>
      <c r="AK55" s="18">
        <f>'Monthly P&amp;L'!AK75</f>
        <v/>
      </c>
      <c r="AL55" s="18">
        <f>'Monthly P&amp;L'!AL75</f>
        <v/>
      </c>
      <c r="AM55" s="18">
        <f>'Monthly P&amp;L'!AM75</f>
        <v/>
      </c>
      <c r="AN55" s="18">
        <f>'Monthly P&amp;L'!AN75</f>
        <v/>
      </c>
      <c r="AO55" s="18">
        <f>'Monthly P&amp;L'!AO75</f>
        <v/>
      </c>
      <c r="AP55" s="18">
        <f>'Monthly P&amp;L'!AP75</f>
        <v/>
      </c>
      <c r="AQ55" s="18">
        <f>'Monthly P&amp;L'!AQ75</f>
        <v/>
      </c>
      <c r="AR55" s="18">
        <f>'Monthly P&amp;L'!AR75</f>
        <v/>
      </c>
      <c r="AS55" s="18">
        <f>'Monthly P&amp;L'!AS75</f>
        <v/>
      </c>
      <c r="AT55" s="18">
        <f>'Monthly P&amp;L'!AT75</f>
        <v/>
      </c>
      <c r="AU55" s="18">
        <f>'Monthly P&amp;L'!AU75</f>
        <v/>
      </c>
      <c r="AV55" s="18">
        <f>'Monthly P&amp;L'!AV75</f>
        <v/>
      </c>
      <c r="AW55" s="18">
        <f>'Monthly P&amp;L'!AW75</f>
        <v/>
      </c>
      <c r="AX55" s="18">
        <f>'Monthly P&amp;L'!AX75</f>
        <v/>
      </c>
      <c r="AY55" s="18">
        <f>'Monthly P&amp;L'!AY75</f>
        <v/>
      </c>
      <c r="AZ55" s="18">
        <f>'Monthly P&amp;L'!AZ75</f>
        <v/>
      </c>
      <c r="BA55" s="18">
        <f>'Monthly P&amp;L'!BA75</f>
        <v/>
      </c>
    </row>
    <row r="56">
      <c r="A56" s="5" t="inlineStr">
        <is>
          <t xml:space="preserve">  — One-Time (M1 only)</t>
        </is>
      </c>
    </row>
    <row r="57">
      <c r="A57" s="3" t="inlineStr">
        <is>
          <t xml:space="preserve">  Coworking (Westhive Zug)</t>
        </is>
      </c>
      <c r="B57" s="18">
        <f>'Monthly P&amp;L'!B77</f>
        <v/>
      </c>
      <c r="C57" s="18">
        <f>'Monthly P&amp;L'!C77</f>
        <v/>
      </c>
      <c r="D57" s="18">
        <f>'Monthly P&amp;L'!D77</f>
        <v/>
      </c>
      <c r="E57" s="18">
        <f>'Monthly P&amp;L'!E77</f>
        <v/>
      </c>
      <c r="F57" s="18">
        <f>'Monthly P&amp;L'!F77</f>
        <v/>
      </c>
      <c r="G57" s="18">
        <f>'Monthly P&amp;L'!G77</f>
        <v/>
      </c>
      <c r="H57" s="18">
        <f>'Monthly P&amp;L'!H77</f>
        <v/>
      </c>
      <c r="I57" s="18">
        <f>'Monthly P&amp;L'!I77</f>
        <v/>
      </c>
      <c r="J57" s="18">
        <f>'Monthly P&amp;L'!J77</f>
        <v/>
      </c>
      <c r="K57" s="18">
        <f>'Monthly P&amp;L'!K77</f>
        <v/>
      </c>
      <c r="L57" s="18">
        <f>'Monthly P&amp;L'!L77</f>
        <v/>
      </c>
      <c r="M57" s="18">
        <f>'Monthly P&amp;L'!M77</f>
        <v/>
      </c>
      <c r="N57" s="18">
        <f>'Monthly P&amp;L'!N77</f>
        <v/>
      </c>
      <c r="O57" s="18">
        <f>'Monthly P&amp;L'!O77</f>
        <v/>
      </c>
      <c r="P57" s="18">
        <f>'Monthly P&amp;L'!P77</f>
        <v/>
      </c>
      <c r="Q57" s="18">
        <f>'Monthly P&amp;L'!Q77</f>
        <v/>
      </c>
      <c r="R57" s="18">
        <f>'Monthly P&amp;L'!R77</f>
        <v/>
      </c>
      <c r="S57" s="18">
        <f>'Monthly P&amp;L'!S77</f>
        <v/>
      </c>
      <c r="T57" s="18">
        <f>'Monthly P&amp;L'!T77</f>
        <v/>
      </c>
      <c r="U57" s="18">
        <f>'Monthly P&amp;L'!U77</f>
        <v/>
      </c>
      <c r="V57" s="18">
        <f>'Monthly P&amp;L'!V77</f>
        <v/>
      </c>
      <c r="W57" s="18">
        <f>'Monthly P&amp;L'!W77</f>
        <v/>
      </c>
      <c r="X57" s="18">
        <f>'Monthly P&amp;L'!X77</f>
        <v/>
      </c>
      <c r="Y57" s="18">
        <f>'Monthly P&amp;L'!Y77</f>
        <v/>
      </c>
      <c r="Z57" s="18">
        <f>'Monthly P&amp;L'!Z77</f>
        <v/>
      </c>
      <c r="AA57" s="18">
        <f>'Monthly P&amp;L'!AA77</f>
        <v/>
      </c>
      <c r="AB57" s="18">
        <f>'Monthly P&amp;L'!AB77</f>
        <v/>
      </c>
      <c r="AC57" s="18">
        <f>'Monthly P&amp;L'!AC77</f>
        <v/>
      </c>
      <c r="AD57" s="18">
        <f>'Monthly P&amp;L'!AD77</f>
        <v/>
      </c>
      <c r="AE57" s="18">
        <f>'Monthly P&amp;L'!AE77</f>
        <v/>
      </c>
      <c r="AF57" s="18">
        <f>'Monthly P&amp;L'!AF77</f>
        <v/>
      </c>
      <c r="AG57" s="18">
        <f>'Monthly P&amp;L'!AG77</f>
        <v/>
      </c>
      <c r="AH57" s="18">
        <f>'Monthly P&amp;L'!AH77</f>
        <v/>
      </c>
      <c r="AI57" s="18">
        <f>'Monthly P&amp;L'!AI77</f>
        <v/>
      </c>
      <c r="AJ57" s="18">
        <f>'Monthly P&amp;L'!AJ77</f>
        <v/>
      </c>
      <c r="AK57" s="18">
        <f>'Monthly P&amp;L'!AK77</f>
        <v/>
      </c>
      <c r="AL57" s="18">
        <f>'Monthly P&amp;L'!AL77</f>
        <v/>
      </c>
      <c r="AM57" s="18">
        <f>'Monthly P&amp;L'!AM77</f>
        <v/>
      </c>
      <c r="AN57" s="18">
        <f>'Monthly P&amp;L'!AN77</f>
        <v/>
      </c>
      <c r="AO57" s="18">
        <f>'Monthly P&amp;L'!AO77</f>
        <v/>
      </c>
      <c r="AP57" s="18">
        <f>'Monthly P&amp;L'!AP77</f>
        <v/>
      </c>
      <c r="AQ57" s="18">
        <f>'Monthly P&amp;L'!AQ77</f>
        <v/>
      </c>
      <c r="AR57" s="18">
        <f>'Monthly P&amp;L'!AR77</f>
        <v/>
      </c>
      <c r="AS57" s="18">
        <f>'Monthly P&amp;L'!AS77</f>
        <v/>
      </c>
      <c r="AT57" s="18">
        <f>'Monthly P&amp;L'!AT77</f>
        <v/>
      </c>
      <c r="AU57" s="18">
        <f>'Monthly P&amp;L'!AU77</f>
        <v/>
      </c>
      <c r="AV57" s="18">
        <f>'Monthly P&amp;L'!AV77</f>
        <v/>
      </c>
      <c r="AW57" s="18">
        <f>'Monthly P&amp;L'!AW77</f>
        <v/>
      </c>
      <c r="AX57" s="18">
        <f>'Monthly P&amp;L'!AX77</f>
        <v/>
      </c>
      <c r="AY57" s="18">
        <f>'Monthly P&amp;L'!AY77</f>
        <v/>
      </c>
      <c r="AZ57" s="18">
        <f>'Monthly P&amp;L'!AZ77</f>
        <v/>
      </c>
      <c r="BA57" s="18">
        <f>'Monthly P&amp;L'!BA77</f>
        <v/>
      </c>
    </row>
    <row r="58">
      <c r="A58" s="3" t="inlineStr">
        <is>
          <t xml:space="preserve">  Travel (client visits)</t>
        </is>
      </c>
      <c r="B58" s="18">
        <f>'Monthly P&amp;L'!B78</f>
        <v/>
      </c>
      <c r="C58" s="18">
        <f>'Monthly P&amp;L'!C78</f>
        <v/>
      </c>
      <c r="D58" s="18">
        <f>'Monthly P&amp;L'!D78</f>
        <v/>
      </c>
      <c r="E58" s="18">
        <f>'Monthly P&amp;L'!E78</f>
        <v/>
      </c>
      <c r="F58" s="18">
        <f>'Monthly P&amp;L'!F78</f>
        <v/>
      </c>
      <c r="G58" s="18">
        <f>'Monthly P&amp;L'!G78</f>
        <v/>
      </c>
      <c r="H58" s="18">
        <f>'Monthly P&amp;L'!H78</f>
        <v/>
      </c>
      <c r="I58" s="18">
        <f>'Monthly P&amp;L'!I78</f>
        <v/>
      </c>
      <c r="J58" s="18">
        <f>'Monthly P&amp;L'!J78</f>
        <v/>
      </c>
      <c r="K58" s="18">
        <f>'Monthly P&amp;L'!K78</f>
        <v/>
      </c>
      <c r="L58" s="18">
        <f>'Monthly P&amp;L'!L78</f>
        <v/>
      </c>
      <c r="M58" s="18">
        <f>'Monthly P&amp;L'!M78</f>
        <v/>
      </c>
      <c r="N58" s="18">
        <f>'Monthly P&amp;L'!N78</f>
        <v/>
      </c>
      <c r="O58" s="18">
        <f>'Monthly P&amp;L'!O78</f>
        <v/>
      </c>
      <c r="P58" s="18">
        <f>'Monthly P&amp;L'!P78</f>
        <v/>
      </c>
      <c r="Q58" s="18">
        <f>'Monthly P&amp;L'!Q78</f>
        <v/>
      </c>
      <c r="R58" s="18">
        <f>'Monthly P&amp;L'!R78</f>
        <v/>
      </c>
      <c r="S58" s="18">
        <f>'Monthly P&amp;L'!S78</f>
        <v/>
      </c>
      <c r="T58" s="18">
        <f>'Monthly P&amp;L'!T78</f>
        <v/>
      </c>
      <c r="U58" s="18">
        <f>'Monthly P&amp;L'!U78</f>
        <v/>
      </c>
      <c r="V58" s="18">
        <f>'Monthly P&amp;L'!V78</f>
        <v/>
      </c>
      <c r="W58" s="18">
        <f>'Monthly P&amp;L'!W78</f>
        <v/>
      </c>
      <c r="X58" s="18">
        <f>'Monthly P&amp;L'!X78</f>
        <v/>
      </c>
      <c r="Y58" s="18">
        <f>'Monthly P&amp;L'!Y78</f>
        <v/>
      </c>
      <c r="Z58" s="18">
        <f>'Monthly P&amp;L'!Z78</f>
        <v/>
      </c>
      <c r="AA58" s="18">
        <f>'Monthly P&amp;L'!AA78</f>
        <v/>
      </c>
      <c r="AB58" s="18">
        <f>'Monthly P&amp;L'!AB78</f>
        <v/>
      </c>
      <c r="AC58" s="18">
        <f>'Monthly P&amp;L'!AC78</f>
        <v/>
      </c>
      <c r="AD58" s="18">
        <f>'Monthly P&amp;L'!AD78</f>
        <v/>
      </c>
      <c r="AE58" s="18">
        <f>'Monthly P&amp;L'!AE78</f>
        <v/>
      </c>
      <c r="AF58" s="18">
        <f>'Monthly P&amp;L'!AF78</f>
        <v/>
      </c>
      <c r="AG58" s="18">
        <f>'Monthly P&amp;L'!AG78</f>
        <v/>
      </c>
      <c r="AH58" s="18">
        <f>'Monthly P&amp;L'!AH78</f>
        <v/>
      </c>
      <c r="AI58" s="18">
        <f>'Monthly P&amp;L'!AI78</f>
        <v/>
      </c>
      <c r="AJ58" s="18">
        <f>'Monthly P&amp;L'!AJ78</f>
        <v/>
      </c>
      <c r="AK58" s="18">
        <f>'Monthly P&amp;L'!AK78</f>
        <v/>
      </c>
      <c r="AL58" s="18">
        <f>'Monthly P&amp;L'!AL78</f>
        <v/>
      </c>
      <c r="AM58" s="18">
        <f>'Monthly P&amp;L'!AM78</f>
        <v/>
      </c>
      <c r="AN58" s="18">
        <f>'Monthly P&amp;L'!AN78</f>
        <v/>
      </c>
      <c r="AO58" s="18">
        <f>'Monthly P&amp;L'!AO78</f>
        <v/>
      </c>
      <c r="AP58" s="18">
        <f>'Monthly P&amp;L'!AP78</f>
        <v/>
      </c>
      <c r="AQ58" s="18">
        <f>'Monthly P&amp;L'!AQ78</f>
        <v/>
      </c>
      <c r="AR58" s="18">
        <f>'Monthly P&amp;L'!AR78</f>
        <v/>
      </c>
      <c r="AS58" s="18">
        <f>'Monthly P&amp;L'!AS78</f>
        <v/>
      </c>
      <c r="AT58" s="18">
        <f>'Monthly P&amp;L'!AT78</f>
        <v/>
      </c>
      <c r="AU58" s="18">
        <f>'Monthly P&amp;L'!AU78</f>
        <v/>
      </c>
      <c r="AV58" s="18">
        <f>'Monthly P&amp;L'!AV78</f>
        <v/>
      </c>
      <c r="AW58" s="18">
        <f>'Monthly P&amp;L'!AW78</f>
        <v/>
      </c>
      <c r="AX58" s="18">
        <f>'Monthly P&amp;L'!AX78</f>
        <v/>
      </c>
      <c r="AY58" s="18">
        <f>'Monthly P&amp;L'!AY78</f>
        <v/>
      </c>
      <c r="AZ58" s="18">
        <f>'Monthly P&amp;L'!AZ78</f>
        <v/>
      </c>
      <c r="BA58" s="18">
        <f>'Monthly P&amp;L'!BA78</f>
        <v/>
      </c>
    </row>
    <row r="59">
      <c r="A59" s="3" t="inlineStr">
        <is>
          <t xml:space="preserve">  Marketing &amp; events</t>
        </is>
      </c>
      <c r="B59" s="18">
        <f>'Monthly P&amp;L'!B79</f>
        <v/>
      </c>
      <c r="C59" s="18">
        <f>'Monthly P&amp;L'!C79</f>
        <v/>
      </c>
      <c r="D59" s="18">
        <f>'Monthly P&amp;L'!D79</f>
        <v/>
      </c>
      <c r="E59" s="18">
        <f>'Monthly P&amp;L'!E79</f>
        <v/>
      </c>
      <c r="F59" s="18">
        <f>'Monthly P&amp;L'!F79</f>
        <v/>
      </c>
      <c r="G59" s="18">
        <f>'Monthly P&amp;L'!G79</f>
        <v/>
      </c>
      <c r="H59" s="18">
        <f>'Monthly P&amp;L'!H79</f>
        <v/>
      </c>
      <c r="I59" s="18">
        <f>'Monthly P&amp;L'!I79</f>
        <v/>
      </c>
      <c r="J59" s="18">
        <f>'Monthly P&amp;L'!J79</f>
        <v/>
      </c>
      <c r="K59" s="18">
        <f>'Monthly P&amp;L'!K79</f>
        <v/>
      </c>
      <c r="L59" s="18">
        <f>'Monthly P&amp;L'!L79</f>
        <v/>
      </c>
      <c r="M59" s="18">
        <f>'Monthly P&amp;L'!M79</f>
        <v/>
      </c>
      <c r="N59" s="18">
        <f>'Monthly P&amp;L'!N79</f>
        <v/>
      </c>
      <c r="O59" s="18">
        <f>'Monthly P&amp;L'!O79</f>
        <v/>
      </c>
      <c r="P59" s="18">
        <f>'Monthly P&amp;L'!P79</f>
        <v/>
      </c>
      <c r="Q59" s="18">
        <f>'Monthly P&amp;L'!Q79</f>
        <v/>
      </c>
      <c r="R59" s="18">
        <f>'Monthly P&amp;L'!R79</f>
        <v/>
      </c>
      <c r="S59" s="18">
        <f>'Monthly P&amp;L'!S79</f>
        <v/>
      </c>
      <c r="T59" s="18">
        <f>'Monthly P&amp;L'!T79</f>
        <v/>
      </c>
      <c r="U59" s="18">
        <f>'Monthly P&amp;L'!U79</f>
        <v/>
      </c>
      <c r="V59" s="18">
        <f>'Monthly P&amp;L'!V79</f>
        <v/>
      </c>
      <c r="W59" s="18">
        <f>'Monthly P&amp;L'!W79</f>
        <v/>
      </c>
      <c r="X59" s="18">
        <f>'Monthly P&amp;L'!X79</f>
        <v/>
      </c>
      <c r="Y59" s="18">
        <f>'Monthly P&amp;L'!Y79</f>
        <v/>
      </c>
      <c r="Z59" s="18">
        <f>'Monthly P&amp;L'!Z79</f>
        <v/>
      </c>
      <c r="AA59" s="18">
        <f>'Monthly P&amp;L'!AA79</f>
        <v/>
      </c>
      <c r="AB59" s="18">
        <f>'Monthly P&amp;L'!AB79</f>
        <v/>
      </c>
      <c r="AC59" s="18">
        <f>'Monthly P&amp;L'!AC79</f>
        <v/>
      </c>
      <c r="AD59" s="18">
        <f>'Monthly P&amp;L'!AD79</f>
        <v/>
      </c>
      <c r="AE59" s="18">
        <f>'Monthly P&amp;L'!AE79</f>
        <v/>
      </c>
      <c r="AF59" s="18">
        <f>'Monthly P&amp;L'!AF79</f>
        <v/>
      </c>
      <c r="AG59" s="18">
        <f>'Monthly P&amp;L'!AG79</f>
        <v/>
      </c>
      <c r="AH59" s="18">
        <f>'Monthly P&amp;L'!AH79</f>
        <v/>
      </c>
      <c r="AI59" s="18">
        <f>'Monthly P&amp;L'!AI79</f>
        <v/>
      </c>
      <c r="AJ59" s="18">
        <f>'Monthly P&amp;L'!AJ79</f>
        <v/>
      </c>
      <c r="AK59" s="18">
        <f>'Monthly P&amp;L'!AK79</f>
        <v/>
      </c>
      <c r="AL59" s="18">
        <f>'Monthly P&amp;L'!AL79</f>
        <v/>
      </c>
      <c r="AM59" s="18">
        <f>'Monthly P&amp;L'!AM79</f>
        <v/>
      </c>
      <c r="AN59" s="18">
        <f>'Monthly P&amp;L'!AN79</f>
        <v/>
      </c>
      <c r="AO59" s="18">
        <f>'Monthly P&amp;L'!AO79</f>
        <v/>
      </c>
      <c r="AP59" s="18">
        <f>'Monthly P&amp;L'!AP79</f>
        <v/>
      </c>
      <c r="AQ59" s="18">
        <f>'Monthly P&amp;L'!AQ79</f>
        <v/>
      </c>
      <c r="AR59" s="18">
        <f>'Monthly P&amp;L'!AR79</f>
        <v/>
      </c>
      <c r="AS59" s="18">
        <f>'Monthly P&amp;L'!AS79</f>
        <v/>
      </c>
      <c r="AT59" s="18">
        <f>'Monthly P&amp;L'!AT79</f>
        <v/>
      </c>
      <c r="AU59" s="18">
        <f>'Monthly P&amp;L'!AU79</f>
        <v/>
      </c>
      <c r="AV59" s="18">
        <f>'Monthly P&amp;L'!AV79</f>
        <v/>
      </c>
      <c r="AW59" s="18">
        <f>'Monthly P&amp;L'!AW79</f>
        <v/>
      </c>
      <c r="AX59" s="18">
        <f>'Monthly P&amp;L'!AX79</f>
        <v/>
      </c>
      <c r="AY59" s="18">
        <f>'Monthly P&amp;L'!AY79</f>
        <v/>
      </c>
      <c r="AZ59" s="18">
        <f>'Monthly P&amp;L'!AZ79</f>
        <v/>
      </c>
      <c r="BA59" s="18">
        <f>'Monthly P&amp;L'!BA79</f>
        <v/>
      </c>
    </row>
    <row r="60">
      <c r="A60" s="3" t="inlineStr">
        <is>
          <t xml:space="preserve">  Payment processing (Stripe 3%)</t>
        </is>
      </c>
      <c r="B60" s="18">
        <f>'Monthly P&amp;L'!B80</f>
        <v/>
      </c>
      <c r="C60" s="18">
        <f>'Monthly P&amp;L'!C80</f>
        <v/>
      </c>
      <c r="D60" s="18">
        <f>'Monthly P&amp;L'!D80</f>
        <v/>
      </c>
      <c r="E60" s="18">
        <f>'Monthly P&amp;L'!E80</f>
        <v/>
      </c>
      <c r="F60" s="18">
        <f>'Monthly P&amp;L'!F80</f>
        <v/>
      </c>
      <c r="G60" s="18">
        <f>'Monthly P&amp;L'!G80</f>
        <v/>
      </c>
      <c r="H60" s="18">
        <f>'Monthly P&amp;L'!H80</f>
        <v/>
      </c>
      <c r="I60" s="18">
        <f>'Monthly P&amp;L'!I80</f>
        <v/>
      </c>
      <c r="J60" s="18">
        <f>'Monthly P&amp;L'!J80</f>
        <v/>
      </c>
      <c r="K60" s="18">
        <f>'Monthly P&amp;L'!K80</f>
        <v/>
      </c>
      <c r="L60" s="18">
        <f>'Monthly P&amp;L'!L80</f>
        <v/>
      </c>
      <c r="M60" s="18">
        <f>'Monthly P&amp;L'!M80</f>
        <v/>
      </c>
      <c r="N60" s="18">
        <f>'Monthly P&amp;L'!N80</f>
        <v/>
      </c>
      <c r="O60" s="18">
        <f>'Monthly P&amp;L'!O80</f>
        <v/>
      </c>
      <c r="P60" s="18">
        <f>'Monthly P&amp;L'!P80</f>
        <v/>
      </c>
      <c r="Q60" s="18">
        <f>'Monthly P&amp;L'!Q80</f>
        <v/>
      </c>
      <c r="R60" s="18">
        <f>'Monthly P&amp;L'!R80</f>
        <v/>
      </c>
      <c r="S60" s="18">
        <f>'Monthly P&amp;L'!S80</f>
        <v/>
      </c>
      <c r="T60" s="18">
        <f>'Monthly P&amp;L'!T80</f>
        <v/>
      </c>
      <c r="U60" s="18">
        <f>'Monthly P&amp;L'!U80</f>
        <v/>
      </c>
      <c r="V60" s="18">
        <f>'Monthly P&amp;L'!V80</f>
        <v/>
      </c>
      <c r="W60" s="18">
        <f>'Monthly P&amp;L'!W80</f>
        <v/>
      </c>
      <c r="X60" s="18">
        <f>'Monthly P&amp;L'!X80</f>
        <v/>
      </c>
      <c r="Y60" s="18">
        <f>'Monthly P&amp;L'!Y80</f>
        <v/>
      </c>
      <c r="Z60" s="18">
        <f>'Monthly P&amp;L'!Z80</f>
        <v/>
      </c>
      <c r="AA60" s="18">
        <f>'Monthly P&amp;L'!AA80</f>
        <v/>
      </c>
      <c r="AB60" s="18">
        <f>'Monthly P&amp;L'!AB80</f>
        <v/>
      </c>
      <c r="AC60" s="18">
        <f>'Monthly P&amp;L'!AC80</f>
        <v/>
      </c>
      <c r="AD60" s="18">
        <f>'Monthly P&amp;L'!AD80</f>
        <v/>
      </c>
      <c r="AE60" s="18">
        <f>'Monthly P&amp;L'!AE80</f>
        <v/>
      </c>
      <c r="AF60" s="18">
        <f>'Monthly P&amp;L'!AF80</f>
        <v/>
      </c>
      <c r="AG60" s="18">
        <f>'Monthly P&amp;L'!AG80</f>
        <v/>
      </c>
      <c r="AH60" s="18">
        <f>'Monthly P&amp;L'!AH80</f>
        <v/>
      </c>
      <c r="AI60" s="18">
        <f>'Monthly P&amp;L'!AI80</f>
        <v/>
      </c>
      <c r="AJ60" s="18">
        <f>'Monthly P&amp;L'!AJ80</f>
        <v/>
      </c>
      <c r="AK60" s="18">
        <f>'Monthly P&amp;L'!AK80</f>
        <v/>
      </c>
      <c r="AL60" s="18">
        <f>'Monthly P&amp;L'!AL80</f>
        <v/>
      </c>
      <c r="AM60" s="18">
        <f>'Monthly P&amp;L'!AM80</f>
        <v/>
      </c>
      <c r="AN60" s="18">
        <f>'Monthly P&amp;L'!AN80</f>
        <v/>
      </c>
      <c r="AO60" s="18">
        <f>'Monthly P&amp;L'!AO80</f>
        <v/>
      </c>
      <c r="AP60" s="18">
        <f>'Monthly P&amp;L'!AP80</f>
        <v/>
      </c>
      <c r="AQ60" s="18">
        <f>'Monthly P&amp;L'!AQ80</f>
        <v/>
      </c>
      <c r="AR60" s="18">
        <f>'Monthly P&amp;L'!AR80</f>
        <v/>
      </c>
      <c r="AS60" s="18">
        <f>'Monthly P&amp;L'!AS80</f>
        <v/>
      </c>
      <c r="AT60" s="18">
        <f>'Monthly P&amp;L'!AT80</f>
        <v/>
      </c>
      <c r="AU60" s="18">
        <f>'Monthly P&amp;L'!AU80</f>
        <v/>
      </c>
      <c r="AV60" s="18">
        <f>'Monthly P&amp;L'!AV80</f>
        <v/>
      </c>
      <c r="AW60" s="18">
        <f>'Monthly P&amp;L'!AW80</f>
        <v/>
      </c>
      <c r="AX60" s="18">
        <f>'Monthly P&amp;L'!AX80</f>
        <v/>
      </c>
      <c r="AY60" s="18">
        <f>'Monthly P&amp;L'!AY80</f>
        <v/>
      </c>
      <c r="AZ60" s="18">
        <f>'Monthly P&amp;L'!AZ80</f>
        <v/>
      </c>
      <c r="BA60" s="18">
        <f>'Monthly P&amp;L'!BA80</f>
        <v/>
      </c>
    </row>
    <row r="61">
      <c r="A61" s="3" t="inlineStr">
        <is>
          <t xml:space="preserve">  Contingency buffer</t>
        </is>
      </c>
      <c r="B61" s="18">
        <f>'Monthly P&amp;L'!B81</f>
        <v/>
      </c>
      <c r="C61" s="18">
        <f>'Monthly P&amp;L'!C81</f>
        <v/>
      </c>
      <c r="D61" s="18">
        <f>'Monthly P&amp;L'!D81</f>
        <v/>
      </c>
      <c r="E61" s="18">
        <f>'Monthly P&amp;L'!E81</f>
        <v/>
      </c>
      <c r="F61" s="18">
        <f>'Monthly P&amp;L'!F81</f>
        <v/>
      </c>
      <c r="G61" s="18">
        <f>'Monthly P&amp;L'!G81</f>
        <v/>
      </c>
      <c r="H61" s="18">
        <f>'Monthly P&amp;L'!H81</f>
        <v/>
      </c>
      <c r="I61" s="18">
        <f>'Monthly P&amp;L'!I81</f>
        <v/>
      </c>
      <c r="J61" s="18">
        <f>'Monthly P&amp;L'!J81</f>
        <v/>
      </c>
      <c r="K61" s="18">
        <f>'Monthly P&amp;L'!K81</f>
        <v/>
      </c>
      <c r="L61" s="18">
        <f>'Monthly P&amp;L'!L81</f>
        <v/>
      </c>
      <c r="M61" s="18">
        <f>'Monthly P&amp;L'!M81</f>
        <v/>
      </c>
      <c r="N61" s="18">
        <f>'Monthly P&amp;L'!N81</f>
        <v/>
      </c>
      <c r="O61" s="18">
        <f>'Monthly P&amp;L'!O81</f>
        <v/>
      </c>
      <c r="P61" s="18">
        <f>'Monthly P&amp;L'!P81</f>
        <v/>
      </c>
      <c r="Q61" s="18">
        <f>'Monthly P&amp;L'!Q81</f>
        <v/>
      </c>
      <c r="R61" s="18">
        <f>'Monthly P&amp;L'!R81</f>
        <v/>
      </c>
      <c r="S61" s="18">
        <f>'Monthly P&amp;L'!S81</f>
        <v/>
      </c>
      <c r="T61" s="18">
        <f>'Monthly P&amp;L'!T81</f>
        <v/>
      </c>
      <c r="U61" s="18">
        <f>'Monthly P&amp;L'!U81</f>
        <v/>
      </c>
      <c r="V61" s="18">
        <f>'Monthly P&amp;L'!V81</f>
        <v/>
      </c>
      <c r="W61" s="18">
        <f>'Monthly P&amp;L'!W81</f>
        <v/>
      </c>
      <c r="X61" s="18">
        <f>'Monthly P&amp;L'!X81</f>
        <v/>
      </c>
      <c r="Y61" s="18">
        <f>'Monthly P&amp;L'!Y81</f>
        <v/>
      </c>
      <c r="Z61" s="18">
        <f>'Monthly P&amp;L'!Z81</f>
        <v/>
      </c>
      <c r="AA61" s="18">
        <f>'Monthly P&amp;L'!AA81</f>
        <v/>
      </c>
      <c r="AB61" s="18">
        <f>'Monthly P&amp;L'!AB81</f>
        <v/>
      </c>
      <c r="AC61" s="18">
        <f>'Monthly P&amp;L'!AC81</f>
        <v/>
      </c>
      <c r="AD61" s="18">
        <f>'Monthly P&amp;L'!AD81</f>
        <v/>
      </c>
      <c r="AE61" s="18">
        <f>'Monthly P&amp;L'!AE81</f>
        <v/>
      </c>
      <c r="AF61" s="18">
        <f>'Monthly P&amp;L'!AF81</f>
        <v/>
      </c>
      <c r="AG61" s="18">
        <f>'Monthly P&amp;L'!AG81</f>
        <v/>
      </c>
      <c r="AH61" s="18">
        <f>'Monthly P&amp;L'!AH81</f>
        <v/>
      </c>
      <c r="AI61" s="18">
        <f>'Monthly P&amp;L'!AI81</f>
        <v/>
      </c>
      <c r="AJ61" s="18">
        <f>'Monthly P&amp;L'!AJ81</f>
        <v/>
      </c>
      <c r="AK61" s="18">
        <f>'Monthly P&amp;L'!AK81</f>
        <v/>
      </c>
      <c r="AL61" s="18">
        <f>'Monthly P&amp;L'!AL81</f>
        <v/>
      </c>
      <c r="AM61" s="18">
        <f>'Monthly P&amp;L'!AM81</f>
        <v/>
      </c>
      <c r="AN61" s="18">
        <f>'Monthly P&amp;L'!AN81</f>
        <v/>
      </c>
      <c r="AO61" s="18">
        <f>'Monthly P&amp;L'!AO81</f>
        <v/>
      </c>
      <c r="AP61" s="18">
        <f>'Monthly P&amp;L'!AP81</f>
        <v/>
      </c>
      <c r="AQ61" s="18">
        <f>'Monthly P&amp;L'!AQ81</f>
        <v/>
      </c>
      <c r="AR61" s="18">
        <f>'Monthly P&amp;L'!AR81</f>
        <v/>
      </c>
      <c r="AS61" s="18">
        <f>'Monthly P&amp;L'!AS81</f>
        <v/>
      </c>
      <c r="AT61" s="18">
        <f>'Monthly P&amp;L'!AT81</f>
        <v/>
      </c>
      <c r="AU61" s="18">
        <f>'Monthly P&amp;L'!AU81</f>
        <v/>
      </c>
      <c r="AV61" s="18">
        <f>'Monthly P&amp;L'!AV81</f>
        <v/>
      </c>
      <c r="AW61" s="18">
        <f>'Monthly P&amp;L'!AW81</f>
        <v/>
      </c>
      <c r="AX61" s="18">
        <f>'Monthly P&amp;L'!AX81</f>
        <v/>
      </c>
      <c r="AY61" s="18">
        <f>'Monthly P&amp;L'!AY81</f>
        <v/>
      </c>
      <c r="AZ61" s="18">
        <f>'Monthly P&amp;L'!AZ81</f>
        <v/>
      </c>
      <c r="BA61" s="18">
        <f>'Monthly P&amp;L'!BA81</f>
        <v/>
      </c>
    </row>
    <row r="62">
      <c r="A62" s="3" t="inlineStr">
        <is>
          <t xml:space="preserve">  One-time: Nexova AG Plus formation</t>
        </is>
      </c>
      <c r="B62" s="18">
        <f>'Monthly P&amp;L'!B82</f>
        <v/>
      </c>
      <c r="C62" s="18">
        <f>'Monthly P&amp;L'!C82</f>
        <v/>
      </c>
      <c r="D62" s="18">
        <f>'Monthly P&amp;L'!D82</f>
        <v/>
      </c>
      <c r="E62" s="18">
        <f>'Monthly P&amp;L'!E82</f>
        <v/>
      </c>
      <c r="F62" s="18">
        <f>'Monthly P&amp;L'!F82</f>
        <v/>
      </c>
      <c r="G62" s="18">
        <f>'Monthly P&amp;L'!G82</f>
        <v/>
      </c>
      <c r="H62" s="18">
        <f>'Monthly P&amp;L'!H82</f>
        <v/>
      </c>
      <c r="I62" s="18">
        <f>'Monthly P&amp;L'!I82</f>
        <v/>
      </c>
      <c r="J62" s="18">
        <f>'Monthly P&amp;L'!J82</f>
        <v/>
      </c>
      <c r="K62" s="18">
        <f>'Monthly P&amp;L'!K82</f>
        <v/>
      </c>
      <c r="L62" s="18">
        <f>'Monthly P&amp;L'!L82</f>
        <v/>
      </c>
      <c r="M62" s="18">
        <f>'Monthly P&amp;L'!M82</f>
        <v/>
      </c>
      <c r="N62" s="18">
        <f>'Monthly P&amp;L'!N82</f>
        <v/>
      </c>
      <c r="O62" s="18">
        <f>'Monthly P&amp;L'!O82</f>
        <v/>
      </c>
      <c r="P62" s="18">
        <f>'Monthly P&amp;L'!P82</f>
        <v/>
      </c>
      <c r="Q62" s="18">
        <f>'Monthly P&amp;L'!Q82</f>
        <v/>
      </c>
      <c r="R62" s="18">
        <f>'Monthly P&amp;L'!R82</f>
        <v/>
      </c>
      <c r="S62" s="18">
        <f>'Monthly P&amp;L'!S82</f>
        <v/>
      </c>
      <c r="T62" s="18">
        <f>'Monthly P&amp;L'!T82</f>
        <v/>
      </c>
      <c r="U62" s="18">
        <f>'Monthly P&amp;L'!U82</f>
        <v/>
      </c>
      <c r="V62" s="18">
        <f>'Monthly P&amp;L'!V82</f>
        <v/>
      </c>
      <c r="W62" s="18">
        <f>'Monthly P&amp;L'!W82</f>
        <v/>
      </c>
      <c r="X62" s="18">
        <f>'Monthly P&amp;L'!X82</f>
        <v/>
      </c>
      <c r="Y62" s="18">
        <f>'Monthly P&amp;L'!Y82</f>
        <v/>
      </c>
      <c r="Z62" s="18">
        <f>'Monthly P&amp;L'!Z82</f>
        <v/>
      </c>
      <c r="AA62" s="18">
        <f>'Monthly P&amp;L'!AA82</f>
        <v/>
      </c>
      <c r="AB62" s="18">
        <f>'Monthly P&amp;L'!AB82</f>
        <v/>
      </c>
      <c r="AC62" s="18">
        <f>'Monthly P&amp;L'!AC82</f>
        <v/>
      </c>
      <c r="AD62" s="18">
        <f>'Monthly P&amp;L'!AD82</f>
        <v/>
      </c>
      <c r="AE62" s="18">
        <f>'Monthly P&amp;L'!AE82</f>
        <v/>
      </c>
      <c r="AF62" s="18">
        <f>'Monthly P&amp;L'!AF82</f>
        <v/>
      </c>
      <c r="AG62" s="18">
        <f>'Monthly P&amp;L'!AG82</f>
        <v/>
      </c>
      <c r="AH62" s="18">
        <f>'Monthly P&amp;L'!AH82</f>
        <v/>
      </c>
      <c r="AI62" s="18">
        <f>'Monthly P&amp;L'!AI82</f>
        <v/>
      </c>
      <c r="AJ62" s="18">
        <f>'Monthly P&amp;L'!AJ82</f>
        <v/>
      </c>
      <c r="AK62" s="18">
        <f>'Monthly P&amp;L'!AK82</f>
        <v/>
      </c>
      <c r="AL62" s="18">
        <f>'Monthly P&amp;L'!AL82</f>
        <v/>
      </c>
      <c r="AM62" s="18">
        <f>'Monthly P&amp;L'!AM82</f>
        <v/>
      </c>
      <c r="AN62" s="18">
        <f>'Monthly P&amp;L'!AN82</f>
        <v/>
      </c>
      <c r="AO62" s="18">
        <f>'Monthly P&amp;L'!AO82</f>
        <v/>
      </c>
      <c r="AP62" s="18">
        <f>'Monthly P&amp;L'!AP82</f>
        <v/>
      </c>
      <c r="AQ62" s="18">
        <f>'Monthly P&amp;L'!AQ82</f>
        <v/>
      </c>
      <c r="AR62" s="18">
        <f>'Monthly P&amp;L'!AR82</f>
        <v/>
      </c>
      <c r="AS62" s="18">
        <f>'Monthly P&amp;L'!AS82</f>
        <v/>
      </c>
      <c r="AT62" s="18">
        <f>'Monthly P&amp;L'!AT82</f>
        <v/>
      </c>
      <c r="AU62" s="18">
        <f>'Monthly P&amp;L'!AU82</f>
        <v/>
      </c>
      <c r="AV62" s="18">
        <f>'Monthly P&amp;L'!AV82</f>
        <v/>
      </c>
      <c r="AW62" s="18">
        <f>'Monthly P&amp;L'!AW82</f>
        <v/>
      </c>
      <c r="AX62" s="18">
        <f>'Monthly P&amp;L'!AX82</f>
        <v/>
      </c>
      <c r="AY62" s="18">
        <f>'Monthly P&amp;L'!AY82</f>
        <v/>
      </c>
      <c r="AZ62" s="18">
        <f>'Monthly P&amp;L'!AZ82</f>
        <v/>
      </c>
      <c r="BA62" s="18">
        <f>'Monthly P&amp;L'!BA82</f>
        <v/>
      </c>
    </row>
    <row r="63">
      <c r="A63" s="3" t="inlineStr">
        <is>
          <t xml:space="preserve">  One-time: Commercial register entry</t>
        </is>
      </c>
      <c r="B63" s="18">
        <f>'Monthly P&amp;L'!B83</f>
        <v/>
      </c>
      <c r="C63" s="18">
        <f>'Monthly P&amp;L'!C83</f>
        <v/>
      </c>
      <c r="D63" s="18">
        <f>'Monthly P&amp;L'!D83</f>
        <v/>
      </c>
      <c r="E63" s="18">
        <f>'Monthly P&amp;L'!E83</f>
        <v/>
      </c>
      <c r="F63" s="18">
        <f>'Monthly P&amp;L'!F83</f>
        <v/>
      </c>
      <c r="G63" s="18">
        <f>'Monthly P&amp;L'!G83</f>
        <v/>
      </c>
      <c r="H63" s="18">
        <f>'Monthly P&amp;L'!H83</f>
        <v/>
      </c>
      <c r="I63" s="18">
        <f>'Monthly P&amp;L'!I83</f>
        <v/>
      </c>
      <c r="J63" s="18">
        <f>'Monthly P&amp;L'!J83</f>
        <v/>
      </c>
      <c r="K63" s="18">
        <f>'Monthly P&amp;L'!K83</f>
        <v/>
      </c>
      <c r="L63" s="18">
        <f>'Monthly P&amp;L'!L83</f>
        <v/>
      </c>
      <c r="M63" s="18">
        <f>'Monthly P&amp;L'!M83</f>
        <v/>
      </c>
      <c r="N63" s="18">
        <f>'Monthly P&amp;L'!N83</f>
        <v/>
      </c>
      <c r="O63" s="18">
        <f>'Monthly P&amp;L'!O83</f>
        <v/>
      </c>
      <c r="P63" s="18">
        <f>'Monthly P&amp;L'!P83</f>
        <v/>
      </c>
      <c r="Q63" s="18">
        <f>'Monthly P&amp;L'!Q83</f>
        <v/>
      </c>
      <c r="R63" s="18">
        <f>'Monthly P&amp;L'!R83</f>
        <v/>
      </c>
      <c r="S63" s="18">
        <f>'Monthly P&amp;L'!S83</f>
        <v/>
      </c>
      <c r="T63" s="18">
        <f>'Monthly P&amp;L'!T83</f>
        <v/>
      </c>
      <c r="U63" s="18">
        <f>'Monthly P&amp;L'!U83</f>
        <v/>
      </c>
      <c r="V63" s="18">
        <f>'Monthly P&amp;L'!V83</f>
        <v/>
      </c>
      <c r="W63" s="18">
        <f>'Monthly P&amp;L'!W83</f>
        <v/>
      </c>
      <c r="X63" s="18">
        <f>'Monthly P&amp;L'!X83</f>
        <v/>
      </c>
      <c r="Y63" s="18">
        <f>'Monthly P&amp;L'!Y83</f>
        <v/>
      </c>
      <c r="Z63" s="18">
        <f>'Monthly P&amp;L'!Z83</f>
        <v/>
      </c>
      <c r="AA63" s="18">
        <f>'Monthly P&amp;L'!AA83</f>
        <v/>
      </c>
      <c r="AB63" s="18">
        <f>'Monthly P&amp;L'!AB83</f>
        <v/>
      </c>
      <c r="AC63" s="18">
        <f>'Monthly P&amp;L'!AC83</f>
        <v/>
      </c>
      <c r="AD63" s="18">
        <f>'Monthly P&amp;L'!AD83</f>
        <v/>
      </c>
      <c r="AE63" s="18">
        <f>'Monthly P&amp;L'!AE83</f>
        <v/>
      </c>
      <c r="AF63" s="18">
        <f>'Monthly P&amp;L'!AF83</f>
        <v/>
      </c>
      <c r="AG63" s="18">
        <f>'Monthly P&amp;L'!AG83</f>
        <v/>
      </c>
      <c r="AH63" s="18">
        <f>'Monthly P&amp;L'!AH83</f>
        <v/>
      </c>
      <c r="AI63" s="18">
        <f>'Monthly P&amp;L'!AI83</f>
        <v/>
      </c>
      <c r="AJ63" s="18">
        <f>'Monthly P&amp;L'!AJ83</f>
        <v/>
      </c>
      <c r="AK63" s="18">
        <f>'Monthly P&amp;L'!AK83</f>
        <v/>
      </c>
      <c r="AL63" s="18">
        <f>'Monthly P&amp;L'!AL83</f>
        <v/>
      </c>
      <c r="AM63" s="18">
        <f>'Monthly P&amp;L'!AM83</f>
        <v/>
      </c>
      <c r="AN63" s="18">
        <f>'Monthly P&amp;L'!AN83</f>
        <v/>
      </c>
      <c r="AO63" s="18">
        <f>'Monthly P&amp;L'!AO83</f>
        <v/>
      </c>
      <c r="AP63" s="18">
        <f>'Monthly P&amp;L'!AP83</f>
        <v/>
      </c>
      <c r="AQ63" s="18">
        <f>'Monthly P&amp;L'!AQ83</f>
        <v/>
      </c>
      <c r="AR63" s="18">
        <f>'Monthly P&amp;L'!AR83</f>
        <v/>
      </c>
      <c r="AS63" s="18">
        <f>'Monthly P&amp;L'!AS83</f>
        <v/>
      </c>
      <c r="AT63" s="18">
        <f>'Monthly P&amp;L'!AT83</f>
        <v/>
      </c>
      <c r="AU63" s="18">
        <f>'Monthly P&amp;L'!AU83</f>
        <v/>
      </c>
      <c r="AV63" s="18">
        <f>'Monthly P&amp;L'!AV83</f>
        <v/>
      </c>
      <c r="AW63" s="18">
        <f>'Monthly P&amp;L'!AW83</f>
        <v/>
      </c>
      <c r="AX63" s="18">
        <f>'Monthly P&amp;L'!AX83</f>
        <v/>
      </c>
      <c r="AY63" s="18">
        <f>'Monthly P&amp;L'!AY83</f>
        <v/>
      </c>
      <c r="AZ63" s="18">
        <f>'Monthly P&amp;L'!AZ83</f>
        <v/>
      </c>
      <c r="BA63" s="18">
        <f>'Monthly P&amp;L'!BA83</f>
        <v/>
      </c>
    </row>
    <row r="64">
      <c r="A64" s="3" t="inlineStr">
        <is>
          <t xml:space="preserve">  One-time: Notary fee (Zug tariff)</t>
        </is>
      </c>
      <c r="B64" s="18">
        <f>'Monthly P&amp;L'!B84</f>
        <v/>
      </c>
      <c r="C64" s="18">
        <f>'Monthly P&amp;L'!C84</f>
        <v/>
      </c>
      <c r="D64" s="18">
        <f>'Monthly P&amp;L'!D84</f>
        <v/>
      </c>
      <c r="E64" s="18">
        <f>'Monthly P&amp;L'!E84</f>
        <v/>
      </c>
      <c r="F64" s="18">
        <f>'Monthly P&amp;L'!F84</f>
        <v/>
      </c>
      <c r="G64" s="18">
        <f>'Monthly P&amp;L'!G84</f>
        <v/>
      </c>
      <c r="H64" s="18">
        <f>'Monthly P&amp;L'!H84</f>
        <v/>
      </c>
      <c r="I64" s="18">
        <f>'Monthly P&amp;L'!I84</f>
        <v/>
      </c>
      <c r="J64" s="18">
        <f>'Monthly P&amp;L'!J84</f>
        <v/>
      </c>
      <c r="K64" s="18">
        <f>'Monthly P&amp;L'!K84</f>
        <v/>
      </c>
      <c r="L64" s="18">
        <f>'Monthly P&amp;L'!L84</f>
        <v/>
      </c>
      <c r="M64" s="18">
        <f>'Monthly P&amp;L'!M84</f>
        <v/>
      </c>
      <c r="N64" s="18">
        <f>'Monthly P&amp;L'!N84</f>
        <v/>
      </c>
      <c r="O64" s="18">
        <f>'Monthly P&amp;L'!O84</f>
        <v/>
      </c>
      <c r="P64" s="18">
        <f>'Monthly P&amp;L'!P84</f>
        <v/>
      </c>
      <c r="Q64" s="18">
        <f>'Monthly P&amp;L'!Q84</f>
        <v/>
      </c>
      <c r="R64" s="18">
        <f>'Monthly P&amp;L'!R84</f>
        <v/>
      </c>
      <c r="S64" s="18">
        <f>'Monthly P&amp;L'!S84</f>
        <v/>
      </c>
      <c r="T64" s="18">
        <f>'Monthly P&amp;L'!T84</f>
        <v/>
      </c>
      <c r="U64" s="18">
        <f>'Monthly P&amp;L'!U84</f>
        <v/>
      </c>
      <c r="V64" s="18">
        <f>'Monthly P&amp;L'!V84</f>
        <v/>
      </c>
      <c r="W64" s="18">
        <f>'Monthly P&amp;L'!W84</f>
        <v/>
      </c>
      <c r="X64" s="18">
        <f>'Monthly P&amp;L'!X84</f>
        <v/>
      </c>
      <c r="Y64" s="18">
        <f>'Monthly P&amp;L'!Y84</f>
        <v/>
      </c>
      <c r="Z64" s="18">
        <f>'Monthly P&amp;L'!Z84</f>
        <v/>
      </c>
      <c r="AA64" s="18">
        <f>'Monthly P&amp;L'!AA84</f>
        <v/>
      </c>
      <c r="AB64" s="18">
        <f>'Monthly P&amp;L'!AB84</f>
        <v/>
      </c>
      <c r="AC64" s="18">
        <f>'Monthly P&amp;L'!AC84</f>
        <v/>
      </c>
      <c r="AD64" s="18">
        <f>'Monthly P&amp;L'!AD84</f>
        <v/>
      </c>
      <c r="AE64" s="18">
        <f>'Monthly P&amp;L'!AE84</f>
        <v/>
      </c>
      <c r="AF64" s="18">
        <f>'Monthly P&amp;L'!AF84</f>
        <v/>
      </c>
      <c r="AG64" s="18">
        <f>'Monthly P&amp;L'!AG84</f>
        <v/>
      </c>
      <c r="AH64" s="18">
        <f>'Monthly P&amp;L'!AH84</f>
        <v/>
      </c>
      <c r="AI64" s="18">
        <f>'Monthly P&amp;L'!AI84</f>
        <v/>
      </c>
      <c r="AJ64" s="18">
        <f>'Monthly P&amp;L'!AJ84</f>
        <v/>
      </c>
      <c r="AK64" s="18">
        <f>'Monthly P&amp;L'!AK84</f>
        <v/>
      </c>
      <c r="AL64" s="18">
        <f>'Monthly P&amp;L'!AL84</f>
        <v/>
      </c>
      <c r="AM64" s="18">
        <f>'Monthly P&amp;L'!AM84</f>
        <v/>
      </c>
      <c r="AN64" s="18">
        <f>'Monthly P&amp;L'!AN84</f>
        <v/>
      </c>
      <c r="AO64" s="18">
        <f>'Monthly P&amp;L'!AO84</f>
        <v/>
      </c>
      <c r="AP64" s="18">
        <f>'Monthly P&amp;L'!AP84</f>
        <v/>
      </c>
      <c r="AQ64" s="18">
        <f>'Monthly P&amp;L'!AQ84</f>
        <v/>
      </c>
      <c r="AR64" s="18">
        <f>'Monthly P&amp;L'!AR84</f>
        <v/>
      </c>
      <c r="AS64" s="18">
        <f>'Monthly P&amp;L'!AS84</f>
        <v/>
      </c>
      <c r="AT64" s="18">
        <f>'Monthly P&amp;L'!AT84</f>
        <v/>
      </c>
      <c r="AU64" s="18">
        <f>'Monthly P&amp;L'!AU84</f>
        <v/>
      </c>
      <c r="AV64" s="18">
        <f>'Monthly P&amp;L'!AV84</f>
        <v/>
      </c>
      <c r="AW64" s="18">
        <f>'Monthly P&amp;L'!AW84</f>
        <v/>
      </c>
      <c r="AX64" s="18">
        <f>'Monthly P&amp;L'!AX84</f>
        <v/>
      </c>
      <c r="AY64" s="18">
        <f>'Monthly P&amp;L'!AY84</f>
        <v/>
      </c>
      <c r="AZ64" s="18">
        <f>'Monthly P&amp;L'!AZ84</f>
        <v/>
      </c>
      <c r="BA64" s="18">
        <f>'Monthly P&amp;L'!BA84</f>
        <v/>
      </c>
    </row>
    <row r="65">
      <c r="A65" s="3" t="inlineStr">
        <is>
          <t xml:space="preserve">  One-time: Capital deposit account</t>
        </is>
      </c>
      <c r="B65" s="18">
        <f>'Monthly P&amp;L'!B85</f>
        <v/>
      </c>
      <c r="C65" s="18">
        <f>'Monthly P&amp;L'!C85</f>
        <v/>
      </c>
      <c r="D65" s="18">
        <f>'Monthly P&amp;L'!D85</f>
        <v/>
      </c>
      <c r="E65" s="18">
        <f>'Monthly P&amp;L'!E85</f>
        <v/>
      </c>
      <c r="F65" s="18">
        <f>'Monthly P&amp;L'!F85</f>
        <v/>
      </c>
      <c r="G65" s="18">
        <f>'Monthly P&amp;L'!G85</f>
        <v/>
      </c>
      <c r="H65" s="18">
        <f>'Monthly P&amp;L'!H85</f>
        <v/>
      </c>
      <c r="I65" s="18">
        <f>'Monthly P&amp;L'!I85</f>
        <v/>
      </c>
      <c r="J65" s="18">
        <f>'Monthly P&amp;L'!J85</f>
        <v/>
      </c>
      <c r="K65" s="18">
        <f>'Monthly P&amp;L'!K85</f>
        <v/>
      </c>
      <c r="L65" s="18">
        <f>'Monthly P&amp;L'!L85</f>
        <v/>
      </c>
      <c r="M65" s="18">
        <f>'Monthly P&amp;L'!M85</f>
        <v/>
      </c>
      <c r="N65" s="18">
        <f>'Monthly P&amp;L'!N85</f>
        <v/>
      </c>
      <c r="O65" s="18">
        <f>'Monthly P&amp;L'!O85</f>
        <v/>
      </c>
      <c r="P65" s="18">
        <f>'Monthly P&amp;L'!P85</f>
        <v/>
      </c>
      <c r="Q65" s="18">
        <f>'Monthly P&amp;L'!Q85</f>
        <v/>
      </c>
      <c r="R65" s="18">
        <f>'Monthly P&amp;L'!R85</f>
        <v/>
      </c>
      <c r="S65" s="18">
        <f>'Monthly P&amp;L'!S85</f>
        <v/>
      </c>
      <c r="T65" s="18">
        <f>'Monthly P&amp;L'!T85</f>
        <v/>
      </c>
      <c r="U65" s="18">
        <f>'Monthly P&amp;L'!U85</f>
        <v/>
      </c>
      <c r="V65" s="18">
        <f>'Monthly P&amp;L'!V85</f>
        <v/>
      </c>
      <c r="W65" s="18">
        <f>'Monthly P&amp;L'!W85</f>
        <v/>
      </c>
      <c r="X65" s="18">
        <f>'Monthly P&amp;L'!X85</f>
        <v/>
      </c>
      <c r="Y65" s="18">
        <f>'Monthly P&amp;L'!Y85</f>
        <v/>
      </c>
      <c r="Z65" s="18">
        <f>'Monthly P&amp;L'!Z85</f>
        <v/>
      </c>
      <c r="AA65" s="18">
        <f>'Monthly P&amp;L'!AA85</f>
        <v/>
      </c>
      <c r="AB65" s="18">
        <f>'Monthly P&amp;L'!AB85</f>
        <v/>
      </c>
      <c r="AC65" s="18">
        <f>'Monthly P&amp;L'!AC85</f>
        <v/>
      </c>
      <c r="AD65" s="18">
        <f>'Monthly P&amp;L'!AD85</f>
        <v/>
      </c>
      <c r="AE65" s="18">
        <f>'Monthly P&amp;L'!AE85</f>
        <v/>
      </c>
      <c r="AF65" s="18">
        <f>'Monthly P&amp;L'!AF85</f>
        <v/>
      </c>
      <c r="AG65" s="18">
        <f>'Monthly P&amp;L'!AG85</f>
        <v/>
      </c>
      <c r="AH65" s="18">
        <f>'Monthly P&amp;L'!AH85</f>
        <v/>
      </c>
      <c r="AI65" s="18">
        <f>'Monthly P&amp;L'!AI85</f>
        <v/>
      </c>
      <c r="AJ65" s="18">
        <f>'Monthly P&amp;L'!AJ85</f>
        <v/>
      </c>
      <c r="AK65" s="18">
        <f>'Monthly P&amp;L'!AK85</f>
        <v/>
      </c>
      <c r="AL65" s="18">
        <f>'Monthly P&amp;L'!AL85</f>
        <v/>
      </c>
      <c r="AM65" s="18">
        <f>'Monthly P&amp;L'!AM85</f>
        <v/>
      </c>
      <c r="AN65" s="18">
        <f>'Monthly P&amp;L'!AN85</f>
        <v/>
      </c>
      <c r="AO65" s="18">
        <f>'Monthly P&amp;L'!AO85</f>
        <v/>
      </c>
      <c r="AP65" s="18">
        <f>'Monthly P&amp;L'!AP85</f>
        <v/>
      </c>
      <c r="AQ65" s="18">
        <f>'Monthly P&amp;L'!AQ85</f>
        <v/>
      </c>
      <c r="AR65" s="18">
        <f>'Monthly P&amp;L'!AR85</f>
        <v/>
      </c>
      <c r="AS65" s="18">
        <f>'Monthly P&amp;L'!AS85</f>
        <v/>
      </c>
      <c r="AT65" s="18">
        <f>'Monthly P&amp;L'!AT85</f>
        <v/>
      </c>
      <c r="AU65" s="18">
        <f>'Monthly P&amp;L'!AU85</f>
        <v/>
      </c>
      <c r="AV65" s="18">
        <f>'Monthly P&amp;L'!AV85</f>
        <v/>
      </c>
      <c r="AW65" s="18">
        <f>'Monthly P&amp;L'!AW85</f>
        <v/>
      </c>
      <c r="AX65" s="18">
        <f>'Monthly P&amp;L'!AX85</f>
        <v/>
      </c>
      <c r="AY65" s="18">
        <f>'Monthly P&amp;L'!AY85</f>
        <v/>
      </c>
      <c r="AZ65" s="18">
        <f>'Monthly P&amp;L'!AZ85</f>
        <v/>
      </c>
      <c r="BA65" s="18">
        <f>'Monthly P&amp;L'!BA85</f>
        <v/>
      </c>
    </row>
    <row r="66">
      <c r="A66" s="3" t="inlineStr">
        <is>
          <t xml:space="preserve">  One-time: Signature certifications</t>
        </is>
      </c>
      <c r="B66" s="18">
        <f>'Monthly P&amp;L'!B86</f>
        <v/>
      </c>
      <c r="C66" s="18">
        <f>'Monthly P&amp;L'!C86</f>
        <v/>
      </c>
      <c r="D66" s="18">
        <f>'Monthly P&amp;L'!D86</f>
        <v/>
      </c>
      <c r="E66" s="18">
        <f>'Monthly P&amp;L'!E86</f>
        <v/>
      </c>
      <c r="F66" s="18">
        <f>'Monthly P&amp;L'!F86</f>
        <v/>
      </c>
      <c r="G66" s="18">
        <f>'Monthly P&amp;L'!G86</f>
        <v/>
      </c>
      <c r="H66" s="18">
        <f>'Monthly P&amp;L'!H86</f>
        <v/>
      </c>
      <c r="I66" s="18">
        <f>'Monthly P&amp;L'!I86</f>
        <v/>
      </c>
      <c r="J66" s="18">
        <f>'Monthly P&amp;L'!J86</f>
        <v/>
      </c>
      <c r="K66" s="18">
        <f>'Monthly P&amp;L'!K86</f>
        <v/>
      </c>
      <c r="L66" s="18">
        <f>'Monthly P&amp;L'!L86</f>
        <v/>
      </c>
      <c r="M66" s="18">
        <f>'Monthly P&amp;L'!M86</f>
        <v/>
      </c>
      <c r="N66" s="18">
        <f>'Monthly P&amp;L'!N86</f>
        <v/>
      </c>
      <c r="O66" s="18">
        <f>'Monthly P&amp;L'!O86</f>
        <v/>
      </c>
      <c r="P66" s="18">
        <f>'Monthly P&amp;L'!P86</f>
        <v/>
      </c>
      <c r="Q66" s="18">
        <f>'Monthly P&amp;L'!Q86</f>
        <v/>
      </c>
      <c r="R66" s="18">
        <f>'Monthly P&amp;L'!R86</f>
        <v/>
      </c>
      <c r="S66" s="18">
        <f>'Monthly P&amp;L'!S86</f>
        <v/>
      </c>
      <c r="T66" s="18">
        <f>'Monthly P&amp;L'!T86</f>
        <v/>
      </c>
      <c r="U66" s="18">
        <f>'Monthly P&amp;L'!U86</f>
        <v/>
      </c>
      <c r="V66" s="18">
        <f>'Monthly P&amp;L'!V86</f>
        <v/>
      </c>
      <c r="W66" s="18">
        <f>'Monthly P&amp;L'!W86</f>
        <v/>
      </c>
      <c r="X66" s="18">
        <f>'Monthly P&amp;L'!X86</f>
        <v/>
      </c>
      <c r="Y66" s="18">
        <f>'Monthly P&amp;L'!Y86</f>
        <v/>
      </c>
      <c r="Z66" s="18">
        <f>'Monthly P&amp;L'!Z86</f>
        <v/>
      </c>
      <c r="AA66" s="18">
        <f>'Monthly P&amp;L'!AA86</f>
        <v/>
      </c>
      <c r="AB66" s="18">
        <f>'Monthly P&amp;L'!AB86</f>
        <v/>
      </c>
      <c r="AC66" s="18">
        <f>'Monthly P&amp;L'!AC86</f>
        <v/>
      </c>
      <c r="AD66" s="18">
        <f>'Monthly P&amp;L'!AD86</f>
        <v/>
      </c>
      <c r="AE66" s="18">
        <f>'Monthly P&amp;L'!AE86</f>
        <v/>
      </c>
      <c r="AF66" s="18">
        <f>'Monthly P&amp;L'!AF86</f>
        <v/>
      </c>
      <c r="AG66" s="18">
        <f>'Monthly P&amp;L'!AG86</f>
        <v/>
      </c>
      <c r="AH66" s="18">
        <f>'Monthly P&amp;L'!AH86</f>
        <v/>
      </c>
      <c r="AI66" s="18">
        <f>'Monthly P&amp;L'!AI86</f>
        <v/>
      </c>
      <c r="AJ66" s="18">
        <f>'Monthly P&amp;L'!AJ86</f>
        <v/>
      </c>
      <c r="AK66" s="18">
        <f>'Monthly P&amp;L'!AK86</f>
        <v/>
      </c>
      <c r="AL66" s="18">
        <f>'Monthly P&amp;L'!AL86</f>
        <v/>
      </c>
      <c r="AM66" s="18">
        <f>'Monthly P&amp;L'!AM86</f>
        <v/>
      </c>
      <c r="AN66" s="18">
        <f>'Monthly P&amp;L'!AN86</f>
        <v/>
      </c>
      <c r="AO66" s="18">
        <f>'Monthly P&amp;L'!AO86</f>
        <v/>
      </c>
      <c r="AP66" s="18">
        <f>'Monthly P&amp;L'!AP86</f>
        <v/>
      </c>
      <c r="AQ66" s="18">
        <f>'Monthly P&amp;L'!AQ86</f>
        <v/>
      </c>
      <c r="AR66" s="18">
        <f>'Monthly P&amp;L'!AR86</f>
        <v/>
      </c>
      <c r="AS66" s="18">
        <f>'Monthly P&amp;L'!AS86</f>
        <v/>
      </c>
      <c r="AT66" s="18">
        <f>'Monthly P&amp;L'!AT86</f>
        <v/>
      </c>
      <c r="AU66" s="18">
        <f>'Monthly P&amp;L'!AU86</f>
        <v/>
      </c>
      <c r="AV66" s="18">
        <f>'Monthly P&amp;L'!AV86</f>
        <v/>
      </c>
      <c r="AW66" s="18">
        <f>'Monthly P&amp;L'!AW86</f>
        <v/>
      </c>
      <c r="AX66" s="18">
        <f>'Monthly P&amp;L'!AX86</f>
        <v/>
      </c>
      <c r="AY66" s="18">
        <f>'Monthly P&amp;L'!AY86</f>
        <v/>
      </c>
      <c r="AZ66" s="18">
        <f>'Monthly P&amp;L'!AZ86</f>
        <v/>
      </c>
      <c r="BA66" s="18">
        <f>'Monthly P&amp;L'!BA86</f>
        <v/>
      </c>
    </row>
    <row r="67">
      <c r="A67" s="3" t="inlineStr">
        <is>
          <t xml:space="preserve">  One-time: MacBook Pro 16" M5 Pro 64GB/2TB</t>
        </is>
      </c>
      <c r="B67" s="18">
        <f>'Monthly P&amp;L'!B87</f>
        <v/>
      </c>
      <c r="C67" s="18">
        <f>'Monthly P&amp;L'!C87</f>
        <v/>
      </c>
      <c r="D67" s="18">
        <f>'Monthly P&amp;L'!D87</f>
        <v/>
      </c>
      <c r="E67" s="18">
        <f>'Monthly P&amp;L'!E87</f>
        <v/>
      </c>
      <c r="F67" s="18">
        <f>'Monthly P&amp;L'!F87</f>
        <v/>
      </c>
      <c r="G67" s="18">
        <f>'Monthly P&amp;L'!G87</f>
        <v/>
      </c>
      <c r="H67" s="18">
        <f>'Monthly P&amp;L'!H87</f>
        <v/>
      </c>
      <c r="I67" s="18">
        <f>'Monthly P&amp;L'!I87</f>
        <v/>
      </c>
      <c r="J67" s="18">
        <f>'Monthly P&amp;L'!J87</f>
        <v/>
      </c>
      <c r="K67" s="18">
        <f>'Monthly P&amp;L'!K87</f>
        <v/>
      </c>
      <c r="L67" s="18">
        <f>'Monthly P&amp;L'!L87</f>
        <v/>
      </c>
      <c r="M67" s="18">
        <f>'Monthly P&amp;L'!M87</f>
        <v/>
      </c>
      <c r="N67" s="18">
        <f>'Monthly P&amp;L'!N87</f>
        <v/>
      </c>
      <c r="O67" s="18">
        <f>'Monthly P&amp;L'!O87</f>
        <v/>
      </c>
      <c r="P67" s="18">
        <f>'Monthly P&amp;L'!P87</f>
        <v/>
      </c>
      <c r="Q67" s="18">
        <f>'Monthly P&amp;L'!Q87</f>
        <v/>
      </c>
      <c r="R67" s="18">
        <f>'Monthly P&amp;L'!R87</f>
        <v/>
      </c>
      <c r="S67" s="18">
        <f>'Monthly P&amp;L'!S87</f>
        <v/>
      </c>
      <c r="T67" s="18">
        <f>'Monthly P&amp;L'!T87</f>
        <v/>
      </c>
      <c r="U67" s="18">
        <f>'Monthly P&amp;L'!U87</f>
        <v/>
      </c>
      <c r="V67" s="18">
        <f>'Monthly P&amp;L'!V87</f>
        <v/>
      </c>
      <c r="W67" s="18">
        <f>'Monthly P&amp;L'!W87</f>
        <v/>
      </c>
      <c r="X67" s="18">
        <f>'Monthly P&amp;L'!X87</f>
        <v/>
      </c>
      <c r="Y67" s="18">
        <f>'Monthly P&amp;L'!Y87</f>
        <v/>
      </c>
      <c r="Z67" s="18">
        <f>'Monthly P&amp;L'!Z87</f>
        <v/>
      </c>
      <c r="AA67" s="18">
        <f>'Monthly P&amp;L'!AA87</f>
        <v/>
      </c>
      <c r="AB67" s="18">
        <f>'Monthly P&amp;L'!AB87</f>
        <v/>
      </c>
      <c r="AC67" s="18">
        <f>'Monthly P&amp;L'!AC87</f>
        <v/>
      </c>
      <c r="AD67" s="18">
        <f>'Monthly P&amp;L'!AD87</f>
        <v/>
      </c>
      <c r="AE67" s="18">
        <f>'Monthly P&amp;L'!AE87</f>
        <v/>
      </c>
      <c r="AF67" s="18">
        <f>'Monthly P&amp;L'!AF87</f>
        <v/>
      </c>
      <c r="AG67" s="18">
        <f>'Monthly P&amp;L'!AG87</f>
        <v/>
      </c>
      <c r="AH67" s="18">
        <f>'Monthly P&amp;L'!AH87</f>
        <v/>
      </c>
      <c r="AI67" s="18">
        <f>'Monthly P&amp;L'!AI87</f>
        <v/>
      </c>
      <c r="AJ67" s="18">
        <f>'Monthly P&amp;L'!AJ87</f>
        <v/>
      </c>
      <c r="AK67" s="18">
        <f>'Monthly P&amp;L'!AK87</f>
        <v/>
      </c>
      <c r="AL67" s="18">
        <f>'Monthly P&amp;L'!AL87</f>
        <v/>
      </c>
      <c r="AM67" s="18">
        <f>'Monthly P&amp;L'!AM87</f>
        <v/>
      </c>
      <c r="AN67" s="18">
        <f>'Monthly P&amp;L'!AN87</f>
        <v/>
      </c>
      <c r="AO67" s="18">
        <f>'Monthly P&amp;L'!AO87</f>
        <v/>
      </c>
      <c r="AP67" s="18">
        <f>'Monthly P&amp;L'!AP87</f>
        <v/>
      </c>
      <c r="AQ67" s="18">
        <f>'Monthly P&amp;L'!AQ87</f>
        <v/>
      </c>
      <c r="AR67" s="18">
        <f>'Monthly P&amp;L'!AR87</f>
        <v/>
      </c>
      <c r="AS67" s="18">
        <f>'Monthly P&amp;L'!AS87</f>
        <v/>
      </c>
      <c r="AT67" s="18">
        <f>'Monthly P&amp;L'!AT87</f>
        <v/>
      </c>
      <c r="AU67" s="18">
        <f>'Monthly P&amp;L'!AU87</f>
        <v/>
      </c>
      <c r="AV67" s="18">
        <f>'Monthly P&amp;L'!AV87</f>
        <v/>
      </c>
      <c r="AW67" s="18">
        <f>'Monthly P&amp;L'!AW87</f>
        <v/>
      </c>
      <c r="AX67" s="18">
        <f>'Monthly P&amp;L'!AX87</f>
        <v/>
      </c>
      <c r="AY67" s="18">
        <f>'Monthly P&amp;L'!AY87</f>
        <v/>
      </c>
      <c r="AZ67" s="18">
        <f>'Monthly P&amp;L'!AZ87</f>
        <v/>
      </c>
      <c r="BA67" s="18">
        <f>'Monthly P&amp;L'!BA87</f>
        <v/>
      </c>
    </row>
    <row r="68">
      <c r="A68" s="3" t="inlineStr">
        <is>
          <t xml:space="preserve">  One-time: Apple Studio Display 2026</t>
        </is>
      </c>
      <c r="B68" s="18">
        <f>'Monthly P&amp;L'!B88</f>
        <v/>
      </c>
      <c r="C68" s="18">
        <f>'Monthly P&amp;L'!C88</f>
        <v/>
      </c>
      <c r="D68" s="18">
        <f>'Monthly P&amp;L'!D88</f>
        <v/>
      </c>
      <c r="E68" s="18">
        <f>'Monthly P&amp;L'!E88</f>
        <v/>
      </c>
      <c r="F68" s="18">
        <f>'Monthly P&amp;L'!F88</f>
        <v/>
      </c>
      <c r="G68" s="18">
        <f>'Monthly P&amp;L'!G88</f>
        <v/>
      </c>
      <c r="H68" s="18">
        <f>'Monthly P&amp;L'!H88</f>
        <v/>
      </c>
      <c r="I68" s="18">
        <f>'Monthly P&amp;L'!I88</f>
        <v/>
      </c>
      <c r="J68" s="18">
        <f>'Monthly P&amp;L'!J88</f>
        <v/>
      </c>
      <c r="K68" s="18">
        <f>'Monthly P&amp;L'!K88</f>
        <v/>
      </c>
      <c r="L68" s="18">
        <f>'Monthly P&amp;L'!L88</f>
        <v/>
      </c>
      <c r="M68" s="18">
        <f>'Monthly P&amp;L'!M88</f>
        <v/>
      </c>
      <c r="N68" s="18">
        <f>'Monthly P&amp;L'!N88</f>
        <v/>
      </c>
      <c r="O68" s="18">
        <f>'Monthly P&amp;L'!O88</f>
        <v/>
      </c>
      <c r="P68" s="18">
        <f>'Monthly P&amp;L'!P88</f>
        <v/>
      </c>
      <c r="Q68" s="18">
        <f>'Monthly P&amp;L'!Q88</f>
        <v/>
      </c>
      <c r="R68" s="18">
        <f>'Monthly P&amp;L'!R88</f>
        <v/>
      </c>
      <c r="S68" s="18">
        <f>'Monthly P&amp;L'!S88</f>
        <v/>
      </c>
      <c r="T68" s="18">
        <f>'Monthly P&amp;L'!T88</f>
        <v/>
      </c>
      <c r="U68" s="18">
        <f>'Monthly P&amp;L'!U88</f>
        <v/>
      </c>
      <c r="V68" s="18">
        <f>'Monthly P&amp;L'!V88</f>
        <v/>
      </c>
      <c r="W68" s="18">
        <f>'Monthly P&amp;L'!W88</f>
        <v/>
      </c>
      <c r="X68" s="18">
        <f>'Monthly P&amp;L'!X88</f>
        <v/>
      </c>
      <c r="Y68" s="18">
        <f>'Monthly P&amp;L'!Y88</f>
        <v/>
      </c>
      <c r="Z68" s="18">
        <f>'Monthly P&amp;L'!Z88</f>
        <v/>
      </c>
      <c r="AA68" s="18">
        <f>'Monthly P&amp;L'!AA88</f>
        <v/>
      </c>
      <c r="AB68" s="18">
        <f>'Monthly P&amp;L'!AB88</f>
        <v/>
      </c>
      <c r="AC68" s="18">
        <f>'Monthly P&amp;L'!AC88</f>
        <v/>
      </c>
      <c r="AD68" s="18">
        <f>'Monthly P&amp;L'!AD88</f>
        <v/>
      </c>
      <c r="AE68" s="18">
        <f>'Monthly P&amp;L'!AE88</f>
        <v/>
      </c>
      <c r="AF68" s="18">
        <f>'Monthly P&amp;L'!AF88</f>
        <v/>
      </c>
      <c r="AG68" s="18">
        <f>'Monthly P&amp;L'!AG88</f>
        <v/>
      </c>
      <c r="AH68" s="18">
        <f>'Monthly P&amp;L'!AH88</f>
        <v/>
      </c>
      <c r="AI68" s="18">
        <f>'Monthly P&amp;L'!AI88</f>
        <v/>
      </c>
      <c r="AJ68" s="18">
        <f>'Monthly P&amp;L'!AJ88</f>
        <v/>
      </c>
      <c r="AK68" s="18">
        <f>'Monthly P&amp;L'!AK88</f>
        <v/>
      </c>
      <c r="AL68" s="18">
        <f>'Monthly P&amp;L'!AL88</f>
        <v/>
      </c>
      <c r="AM68" s="18">
        <f>'Monthly P&amp;L'!AM88</f>
        <v/>
      </c>
      <c r="AN68" s="18">
        <f>'Monthly P&amp;L'!AN88</f>
        <v/>
      </c>
      <c r="AO68" s="18">
        <f>'Monthly P&amp;L'!AO88</f>
        <v/>
      </c>
      <c r="AP68" s="18">
        <f>'Monthly P&amp;L'!AP88</f>
        <v/>
      </c>
      <c r="AQ68" s="18">
        <f>'Monthly P&amp;L'!AQ88</f>
        <v/>
      </c>
      <c r="AR68" s="18">
        <f>'Monthly P&amp;L'!AR88</f>
        <v/>
      </c>
      <c r="AS68" s="18">
        <f>'Monthly P&amp;L'!AS88</f>
        <v/>
      </c>
      <c r="AT68" s="18">
        <f>'Monthly P&amp;L'!AT88</f>
        <v/>
      </c>
      <c r="AU68" s="18">
        <f>'Monthly P&amp;L'!AU88</f>
        <v/>
      </c>
      <c r="AV68" s="18">
        <f>'Monthly P&amp;L'!AV88</f>
        <v/>
      </c>
      <c r="AW68" s="18">
        <f>'Monthly P&amp;L'!AW88</f>
        <v/>
      </c>
      <c r="AX68" s="18">
        <f>'Monthly P&amp;L'!AX88</f>
        <v/>
      </c>
      <c r="AY68" s="18">
        <f>'Monthly P&amp;L'!AY88</f>
        <v/>
      </c>
      <c r="AZ68" s="18">
        <f>'Monthly P&amp;L'!AZ88</f>
        <v/>
      </c>
      <c r="BA68" s="18">
        <f>'Monthly P&amp;L'!BA88</f>
        <v/>
      </c>
    </row>
    <row r="69">
      <c r="A69" s="3" t="inlineStr">
        <is>
          <t xml:space="preserve">  One-time: Logitech MX Keys S</t>
        </is>
      </c>
      <c r="B69" s="18">
        <f>'Monthly P&amp;L'!B89</f>
        <v/>
      </c>
      <c r="C69" s="18">
        <f>'Monthly P&amp;L'!C89</f>
        <v/>
      </c>
      <c r="D69" s="18">
        <f>'Monthly P&amp;L'!D89</f>
        <v/>
      </c>
      <c r="E69" s="18">
        <f>'Monthly P&amp;L'!E89</f>
        <v/>
      </c>
      <c r="F69" s="18">
        <f>'Monthly P&amp;L'!F89</f>
        <v/>
      </c>
      <c r="G69" s="18">
        <f>'Monthly P&amp;L'!G89</f>
        <v/>
      </c>
      <c r="H69" s="18">
        <f>'Monthly P&amp;L'!H89</f>
        <v/>
      </c>
      <c r="I69" s="18">
        <f>'Monthly P&amp;L'!I89</f>
        <v/>
      </c>
      <c r="J69" s="18">
        <f>'Monthly P&amp;L'!J89</f>
        <v/>
      </c>
      <c r="K69" s="18">
        <f>'Monthly P&amp;L'!K89</f>
        <v/>
      </c>
      <c r="L69" s="18">
        <f>'Monthly P&amp;L'!L89</f>
        <v/>
      </c>
      <c r="M69" s="18">
        <f>'Monthly P&amp;L'!M89</f>
        <v/>
      </c>
      <c r="N69" s="18">
        <f>'Monthly P&amp;L'!N89</f>
        <v/>
      </c>
      <c r="O69" s="18">
        <f>'Monthly P&amp;L'!O89</f>
        <v/>
      </c>
      <c r="P69" s="18">
        <f>'Monthly P&amp;L'!P89</f>
        <v/>
      </c>
      <c r="Q69" s="18">
        <f>'Monthly P&amp;L'!Q89</f>
        <v/>
      </c>
      <c r="R69" s="18">
        <f>'Monthly P&amp;L'!R89</f>
        <v/>
      </c>
      <c r="S69" s="18">
        <f>'Monthly P&amp;L'!S89</f>
        <v/>
      </c>
      <c r="T69" s="18">
        <f>'Monthly P&amp;L'!T89</f>
        <v/>
      </c>
      <c r="U69" s="18">
        <f>'Monthly P&amp;L'!U89</f>
        <v/>
      </c>
      <c r="V69" s="18">
        <f>'Monthly P&amp;L'!V89</f>
        <v/>
      </c>
      <c r="W69" s="18">
        <f>'Monthly P&amp;L'!W89</f>
        <v/>
      </c>
      <c r="X69" s="18">
        <f>'Monthly P&amp;L'!X89</f>
        <v/>
      </c>
      <c r="Y69" s="18">
        <f>'Monthly P&amp;L'!Y89</f>
        <v/>
      </c>
      <c r="Z69" s="18">
        <f>'Monthly P&amp;L'!Z89</f>
        <v/>
      </c>
      <c r="AA69" s="18">
        <f>'Monthly P&amp;L'!AA89</f>
        <v/>
      </c>
      <c r="AB69" s="18">
        <f>'Monthly P&amp;L'!AB89</f>
        <v/>
      </c>
      <c r="AC69" s="18">
        <f>'Monthly P&amp;L'!AC89</f>
        <v/>
      </c>
      <c r="AD69" s="18">
        <f>'Monthly P&amp;L'!AD89</f>
        <v/>
      </c>
      <c r="AE69" s="18">
        <f>'Monthly P&amp;L'!AE89</f>
        <v/>
      </c>
      <c r="AF69" s="18">
        <f>'Monthly P&amp;L'!AF89</f>
        <v/>
      </c>
      <c r="AG69" s="18">
        <f>'Monthly P&amp;L'!AG89</f>
        <v/>
      </c>
      <c r="AH69" s="18">
        <f>'Monthly P&amp;L'!AH89</f>
        <v/>
      </c>
      <c r="AI69" s="18">
        <f>'Monthly P&amp;L'!AI89</f>
        <v/>
      </c>
      <c r="AJ69" s="18">
        <f>'Monthly P&amp;L'!AJ89</f>
        <v/>
      </c>
      <c r="AK69" s="18">
        <f>'Monthly P&amp;L'!AK89</f>
        <v/>
      </c>
      <c r="AL69" s="18">
        <f>'Monthly P&amp;L'!AL89</f>
        <v/>
      </c>
      <c r="AM69" s="18">
        <f>'Monthly P&amp;L'!AM89</f>
        <v/>
      </c>
      <c r="AN69" s="18">
        <f>'Monthly P&amp;L'!AN89</f>
        <v/>
      </c>
      <c r="AO69" s="18">
        <f>'Monthly P&amp;L'!AO89</f>
        <v/>
      </c>
      <c r="AP69" s="18">
        <f>'Monthly P&amp;L'!AP89</f>
        <v/>
      </c>
      <c r="AQ69" s="18">
        <f>'Monthly P&amp;L'!AQ89</f>
        <v/>
      </c>
      <c r="AR69" s="18">
        <f>'Monthly P&amp;L'!AR89</f>
        <v/>
      </c>
      <c r="AS69" s="18">
        <f>'Monthly P&amp;L'!AS89</f>
        <v/>
      </c>
      <c r="AT69" s="18">
        <f>'Monthly P&amp;L'!AT89</f>
        <v/>
      </c>
      <c r="AU69" s="18">
        <f>'Monthly P&amp;L'!AU89</f>
        <v/>
      </c>
      <c r="AV69" s="18">
        <f>'Monthly P&amp;L'!AV89</f>
        <v/>
      </c>
      <c r="AW69" s="18">
        <f>'Monthly P&amp;L'!AW89</f>
        <v/>
      </c>
      <c r="AX69" s="18">
        <f>'Monthly P&amp;L'!AX89</f>
        <v/>
      </c>
      <c r="AY69" s="18">
        <f>'Monthly P&amp;L'!AY89</f>
        <v/>
      </c>
      <c r="AZ69" s="18">
        <f>'Monthly P&amp;L'!AZ89</f>
        <v/>
      </c>
      <c r="BA69" s="18">
        <f>'Monthly P&amp;L'!BA89</f>
        <v/>
      </c>
    </row>
    <row r="70">
      <c r="A70" s="3" t="inlineStr">
        <is>
          <t xml:space="preserve">  One-time: Logitech MX Master 3S</t>
        </is>
      </c>
      <c r="B70" s="18">
        <f>'Monthly P&amp;L'!B90</f>
        <v/>
      </c>
      <c r="C70" s="18">
        <f>'Monthly P&amp;L'!C90</f>
        <v/>
      </c>
      <c r="D70" s="18">
        <f>'Monthly P&amp;L'!D90</f>
        <v/>
      </c>
      <c r="E70" s="18">
        <f>'Monthly P&amp;L'!E90</f>
        <v/>
      </c>
      <c r="F70" s="18">
        <f>'Monthly P&amp;L'!F90</f>
        <v/>
      </c>
      <c r="G70" s="18">
        <f>'Monthly P&amp;L'!G90</f>
        <v/>
      </c>
      <c r="H70" s="18">
        <f>'Monthly P&amp;L'!H90</f>
        <v/>
      </c>
      <c r="I70" s="18">
        <f>'Monthly P&amp;L'!I90</f>
        <v/>
      </c>
      <c r="J70" s="18">
        <f>'Monthly P&amp;L'!J90</f>
        <v/>
      </c>
      <c r="K70" s="18">
        <f>'Monthly P&amp;L'!K90</f>
        <v/>
      </c>
      <c r="L70" s="18">
        <f>'Monthly P&amp;L'!L90</f>
        <v/>
      </c>
      <c r="M70" s="18">
        <f>'Monthly P&amp;L'!M90</f>
        <v/>
      </c>
      <c r="N70" s="18">
        <f>'Monthly P&amp;L'!N90</f>
        <v/>
      </c>
      <c r="O70" s="18">
        <f>'Monthly P&amp;L'!O90</f>
        <v/>
      </c>
      <c r="P70" s="18">
        <f>'Monthly P&amp;L'!P90</f>
        <v/>
      </c>
      <c r="Q70" s="18">
        <f>'Monthly P&amp;L'!Q90</f>
        <v/>
      </c>
      <c r="R70" s="18">
        <f>'Monthly P&amp;L'!R90</f>
        <v/>
      </c>
      <c r="S70" s="18">
        <f>'Monthly P&amp;L'!S90</f>
        <v/>
      </c>
      <c r="T70" s="18">
        <f>'Monthly P&amp;L'!T90</f>
        <v/>
      </c>
      <c r="U70" s="18">
        <f>'Monthly P&amp;L'!U90</f>
        <v/>
      </c>
      <c r="V70" s="18">
        <f>'Monthly P&amp;L'!V90</f>
        <v/>
      </c>
      <c r="W70" s="18">
        <f>'Monthly P&amp;L'!W90</f>
        <v/>
      </c>
      <c r="X70" s="18">
        <f>'Monthly P&amp;L'!X90</f>
        <v/>
      </c>
      <c r="Y70" s="18">
        <f>'Monthly P&amp;L'!Y90</f>
        <v/>
      </c>
      <c r="Z70" s="18">
        <f>'Monthly P&amp;L'!Z90</f>
        <v/>
      </c>
      <c r="AA70" s="18">
        <f>'Monthly P&amp;L'!AA90</f>
        <v/>
      </c>
      <c r="AB70" s="18">
        <f>'Monthly P&amp;L'!AB90</f>
        <v/>
      </c>
      <c r="AC70" s="18">
        <f>'Monthly P&amp;L'!AC90</f>
        <v/>
      </c>
      <c r="AD70" s="18">
        <f>'Monthly P&amp;L'!AD90</f>
        <v/>
      </c>
      <c r="AE70" s="18">
        <f>'Monthly P&amp;L'!AE90</f>
        <v/>
      </c>
      <c r="AF70" s="18">
        <f>'Monthly P&amp;L'!AF90</f>
        <v/>
      </c>
      <c r="AG70" s="18">
        <f>'Monthly P&amp;L'!AG90</f>
        <v/>
      </c>
      <c r="AH70" s="18">
        <f>'Monthly P&amp;L'!AH90</f>
        <v/>
      </c>
      <c r="AI70" s="18">
        <f>'Monthly P&amp;L'!AI90</f>
        <v/>
      </c>
      <c r="AJ70" s="18">
        <f>'Monthly P&amp;L'!AJ90</f>
        <v/>
      </c>
      <c r="AK70" s="18">
        <f>'Monthly P&amp;L'!AK90</f>
        <v/>
      </c>
      <c r="AL70" s="18">
        <f>'Monthly P&amp;L'!AL90</f>
        <v/>
      </c>
      <c r="AM70" s="18">
        <f>'Monthly P&amp;L'!AM90</f>
        <v/>
      </c>
      <c r="AN70" s="18">
        <f>'Monthly P&amp;L'!AN90</f>
        <v/>
      </c>
      <c r="AO70" s="18">
        <f>'Monthly P&amp;L'!AO90</f>
        <v/>
      </c>
      <c r="AP70" s="18">
        <f>'Monthly P&amp;L'!AP90</f>
        <v/>
      </c>
      <c r="AQ70" s="18">
        <f>'Monthly P&amp;L'!AQ90</f>
        <v/>
      </c>
      <c r="AR70" s="18">
        <f>'Monthly P&amp;L'!AR90</f>
        <v/>
      </c>
      <c r="AS70" s="18">
        <f>'Monthly P&amp;L'!AS90</f>
        <v/>
      </c>
      <c r="AT70" s="18">
        <f>'Monthly P&amp;L'!AT90</f>
        <v/>
      </c>
      <c r="AU70" s="18">
        <f>'Monthly P&amp;L'!AU90</f>
        <v/>
      </c>
      <c r="AV70" s="18">
        <f>'Monthly P&amp;L'!AV90</f>
        <v/>
      </c>
      <c r="AW70" s="18">
        <f>'Monthly P&amp;L'!AW90</f>
        <v/>
      </c>
      <c r="AX70" s="18">
        <f>'Monthly P&amp;L'!AX90</f>
        <v/>
      </c>
      <c r="AY70" s="18">
        <f>'Monthly P&amp;L'!AY90</f>
        <v/>
      </c>
      <c r="AZ70" s="18">
        <f>'Monthly P&amp;L'!AZ90</f>
        <v/>
      </c>
      <c r="BA70" s="18">
        <f>'Monthly P&amp;L'!BA90</f>
        <v/>
      </c>
    </row>
    <row r="71">
      <c r="A71" s="3" t="inlineStr">
        <is>
          <t xml:space="preserve">  One-time: Ergotron LX monitor arm</t>
        </is>
      </c>
      <c r="B71" s="18">
        <f>'Monthly P&amp;L'!B91</f>
        <v/>
      </c>
      <c r="C71" s="18">
        <f>'Monthly P&amp;L'!C91</f>
        <v/>
      </c>
      <c r="D71" s="18">
        <f>'Monthly P&amp;L'!D91</f>
        <v/>
      </c>
      <c r="E71" s="18">
        <f>'Monthly P&amp;L'!E91</f>
        <v/>
      </c>
      <c r="F71" s="18">
        <f>'Monthly P&amp;L'!F91</f>
        <v/>
      </c>
      <c r="G71" s="18">
        <f>'Monthly P&amp;L'!G91</f>
        <v/>
      </c>
      <c r="H71" s="18">
        <f>'Monthly P&amp;L'!H91</f>
        <v/>
      </c>
      <c r="I71" s="18">
        <f>'Monthly P&amp;L'!I91</f>
        <v/>
      </c>
      <c r="J71" s="18">
        <f>'Monthly P&amp;L'!J91</f>
        <v/>
      </c>
      <c r="K71" s="18">
        <f>'Monthly P&amp;L'!K91</f>
        <v/>
      </c>
      <c r="L71" s="18">
        <f>'Monthly P&amp;L'!L91</f>
        <v/>
      </c>
      <c r="M71" s="18">
        <f>'Monthly P&amp;L'!M91</f>
        <v/>
      </c>
      <c r="N71" s="18">
        <f>'Monthly P&amp;L'!N91</f>
        <v/>
      </c>
      <c r="O71" s="18">
        <f>'Monthly P&amp;L'!O91</f>
        <v/>
      </c>
      <c r="P71" s="18">
        <f>'Monthly P&amp;L'!P91</f>
        <v/>
      </c>
      <c r="Q71" s="18">
        <f>'Monthly P&amp;L'!Q91</f>
        <v/>
      </c>
      <c r="R71" s="18">
        <f>'Monthly P&amp;L'!R91</f>
        <v/>
      </c>
      <c r="S71" s="18">
        <f>'Monthly P&amp;L'!S91</f>
        <v/>
      </c>
      <c r="T71" s="18">
        <f>'Monthly P&amp;L'!T91</f>
        <v/>
      </c>
      <c r="U71" s="18">
        <f>'Monthly P&amp;L'!U91</f>
        <v/>
      </c>
      <c r="V71" s="18">
        <f>'Monthly P&amp;L'!V91</f>
        <v/>
      </c>
      <c r="W71" s="18">
        <f>'Monthly P&amp;L'!W91</f>
        <v/>
      </c>
      <c r="X71" s="18">
        <f>'Monthly P&amp;L'!X91</f>
        <v/>
      </c>
      <c r="Y71" s="18">
        <f>'Monthly P&amp;L'!Y91</f>
        <v/>
      </c>
      <c r="Z71" s="18">
        <f>'Monthly P&amp;L'!Z91</f>
        <v/>
      </c>
      <c r="AA71" s="18">
        <f>'Monthly P&amp;L'!AA91</f>
        <v/>
      </c>
      <c r="AB71" s="18">
        <f>'Monthly P&amp;L'!AB91</f>
        <v/>
      </c>
      <c r="AC71" s="18">
        <f>'Monthly P&amp;L'!AC91</f>
        <v/>
      </c>
      <c r="AD71" s="18">
        <f>'Monthly P&amp;L'!AD91</f>
        <v/>
      </c>
      <c r="AE71" s="18">
        <f>'Monthly P&amp;L'!AE91</f>
        <v/>
      </c>
      <c r="AF71" s="18">
        <f>'Monthly P&amp;L'!AF91</f>
        <v/>
      </c>
      <c r="AG71" s="18">
        <f>'Monthly P&amp;L'!AG91</f>
        <v/>
      </c>
      <c r="AH71" s="18">
        <f>'Monthly P&amp;L'!AH91</f>
        <v/>
      </c>
      <c r="AI71" s="18">
        <f>'Monthly P&amp;L'!AI91</f>
        <v/>
      </c>
      <c r="AJ71" s="18">
        <f>'Monthly P&amp;L'!AJ91</f>
        <v/>
      </c>
      <c r="AK71" s="18">
        <f>'Monthly P&amp;L'!AK91</f>
        <v/>
      </c>
      <c r="AL71" s="18">
        <f>'Monthly P&amp;L'!AL91</f>
        <v/>
      </c>
      <c r="AM71" s="18">
        <f>'Monthly P&amp;L'!AM91</f>
        <v/>
      </c>
      <c r="AN71" s="18">
        <f>'Monthly P&amp;L'!AN91</f>
        <v/>
      </c>
      <c r="AO71" s="18">
        <f>'Monthly P&amp;L'!AO91</f>
        <v/>
      </c>
      <c r="AP71" s="18">
        <f>'Monthly P&amp;L'!AP91</f>
        <v/>
      </c>
      <c r="AQ71" s="18">
        <f>'Monthly P&amp;L'!AQ91</f>
        <v/>
      </c>
      <c r="AR71" s="18">
        <f>'Monthly P&amp;L'!AR91</f>
        <v/>
      </c>
      <c r="AS71" s="18">
        <f>'Monthly P&amp;L'!AS91</f>
        <v/>
      </c>
      <c r="AT71" s="18">
        <f>'Monthly P&amp;L'!AT91</f>
        <v/>
      </c>
      <c r="AU71" s="18">
        <f>'Monthly P&amp;L'!AU91</f>
        <v/>
      </c>
      <c r="AV71" s="18">
        <f>'Monthly P&amp;L'!AV91</f>
        <v/>
      </c>
      <c r="AW71" s="18">
        <f>'Monthly P&amp;L'!AW91</f>
        <v/>
      </c>
      <c r="AX71" s="18">
        <f>'Monthly P&amp;L'!AX91</f>
        <v/>
      </c>
      <c r="AY71" s="18">
        <f>'Monthly P&amp;L'!AY91</f>
        <v/>
      </c>
      <c r="AZ71" s="18">
        <f>'Monthly P&amp;L'!AZ91</f>
        <v/>
      </c>
      <c r="BA71" s="18">
        <f>'Monthly P&amp;L'!BA91</f>
        <v/>
      </c>
    </row>
    <row r="72">
      <c r="A72" s="3" t="inlineStr">
        <is>
          <t xml:space="preserve">  One-time: Legal (SHA, PSOP, contracts)</t>
        </is>
      </c>
      <c r="B72" s="18">
        <f>'Monthly P&amp;L'!B92</f>
        <v/>
      </c>
      <c r="C72" s="18">
        <f>'Monthly P&amp;L'!C92</f>
        <v/>
      </c>
      <c r="D72" s="18">
        <f>'Monthly P&amp;L'!D92</f>
        <v/>
      </c>
      <c r="E72" s="18">
        <f>'Monthly P&amp;L'!E92</f>
        <v/>
      </c>
      <c r="F72" s="18">
        <f>'Monthly P&amp;L'!F92</f>
        <v/>
      </c>
      <c r="G72" s="18">
        <f>'Monthly P&amp;L'!G92</f>
        <v/>
      </c>
      <c r="H72" s="18">
        <f>'Monthly P&amp;L'!H92</f>
        <v/>
      </c>
      <c r="I72" s="18">
        <f>'Monthly P&amp;L'!I92</f>
        <v/>
      </c>
      <c r="J72" s="18">
        <f>'Monthly P&amp;L'!J92</f>
        <v/>
      </c>
      <c r="K72" s="18">
        <f>'Monthly P&amp;L'!K92</f>
        <v/>
      </c>
      <c r="L72" s="18">
        <f>'Monthly P&amp;L'!L92</f>
        <v/>
      </c>
      <c r="M72" s="18">
        <f>'Monthly P&amp;L'!M92</f>
        <v/>
      </c>
      <c r="N72" s="18">
        <f>'Monthly P&amp;L'!N92</f>
        <v/>
      </c>
      <c r="O72" s="18">
        <f>'Monthly P&amp;L'!O92</f>
        <v/>
      </c>
      <c r="P72" s="18">
        <f>'Monthly P&amp;L'!P92</f>
        <v/>
      </c>
      <c r="Q72" s="18">
        <f>'Monthly P&amp;L'!Q92</f>
        <v/>
      </c>
      <c r="R72" s="18">
        <f>'Monthly P&amp;L'!R92</f>
        <v/>
      </c>
      <c r="S72" s="18">
        <f>'Monthly P&amp;L'!S92</f>
        <v/>
      </c>
      <c r="T72" s="18">
        <f>'Monthly P&amp;L'!T92</f>
        <v/>
      </c>
      <c r="U72" s="18">
        <f>'Monthly P&amp;L'!U92</f>
        <v/>
      </c>
      <c r="V72" s="18">
        <f>'Monthly P&amp;L'!V92</f>
        <v/>
      </c>
      <c r="W72" s="18">
        <f>'Monthly P&amp;L'!W92</f>
        <v/>
      </c>
      <c r="X72" s="18">
        <f>'Monthly P&amp;L'!X92</f>
        <v/>
      </c>
      <c r="Y72" s="18">
        <f>'Monthly P&amp;L'!Y92</f>
        <v/>
      </c>
      <c r="Z72" s="18">
        <f>'Monthly P&amp;L'!Z92</f>
        <v/>
      </c>
      <c r="AA72" s="18">
        <f>'Monthly P&amp;L'!AA92</f>
        <v/>
      </c>
      <c r="AB72" s="18">
        <f>'Monthly P&amp;L'!AB92</f>
        <v/>
      </c>
      <c r="AC72" s="18">
        <f>'Monthly P&amp;L'!AC92</f>
        <v/>
      </c>
      <c r="AD72" s="18">
        <f>'Monthly P&amp;L'!AD92</f>
        <v/>
      </c>
      <c r="AE72" s="18">
        <f>'Monthly P&amp;L'!AE92</f>
        <v/>
      </c>
      <c r="AF72" s="18">
        <f>'Monthly P&amp;L'!AF92</f>
        <v/>
      </c>
      <c r="AG72" s="18">
        <f>'Monthly P&amp;L'!AG92</f>
        <v/>
      </c>
      <c r="AH72" s="18">
        <f>'Monthly P&amp;L'!AH92</f>
        <v/>
      </c>
      <c r="AI72" s="18">
        <f>'Monthly P&amp;L'!AI92</f>
        <v/>
      </c>
      <c r="AJ72" s="18">
        <f>'Monthly P&amp;L'!AJ92</f>
        <v/>
      </c>
      <c r="AK72" s="18">
        <f>'Monthly P&amp;L'!AK92</f>
        <v/>
      </c>
      <c r="AL72" s="18">
        <f>'Monthly P&amp;L'!AL92</f>
        <v/>
      </c>
      <c r="AM72" s="18">
        <f>'Monthly P&amp;L'!AM92</f>
        <v/>
      </c>
      <c r="AN72" s="18">
        <f>'Monthly P&amp;L'!AN92</f>
        <v/>
      </c>
      <c r="AO72" s="18">
        <f>'Monthly P&amp;L'!AO92</f>
        <v/>
      </c>
      <c r="AP72" s="18">
        <f>'Monthly P&amp;L'!AP92</f>
        <v/>
      </c>
      <c r="AQ72" s="18">
        <f>'Monthly P&amp;L'!AQ92</f>
        <v/>
      </c>
      <c r="AR72" s="18">
        <f>'Monthly P&amp;L'!AR92</f>
        <v/>
      </c>
      <c r="AS72" s="18">
        <f>'Monthly P&amp;L'!AS92</f>
        <v/>
      </c>
      <c r="AT72" s="18">
        <f>'Monthly P&amp;L'!AT92</f>
        <v/>
      </c>
      <c r="AU72" s="18">
        <f>'Monthly P&amp;L'!AU92</f>
        <v/>
      </c>
      <c r="AV72" s="18">
        <f>'Monthly P&amp;L'!AV92</f>
        <v/>
      </c>
      <c r="AW72" s="18">
        <f>'Monthly P&amp;L'!AW92</f>
        <v/>
      </c>
      <c r="AX72" s="18">
        <f>'Monthly P&amp;L'!AX92</f>
        <v/>
      </c>
      <c r="AY72" s="18">
        <f>'Monthly P&amp;L'!AY92</f>
        <v/>
      </c>
      <c r="AZ72" s="18">
        <f>'Monthly P&amp;L'!AZ92</f>
        <v/>
      </c>
      <c r="BA72" s="18">
        <f>'Monthly P&amp;L'!BA92</f>
        <v/>
      </c>
    </row>
    <row r="73">
      <c r="A73" s="3" t="inlineStr">
        <is>
          <t xml:space="preserve">  One-time: Domain .ai (2yr reg)</t>
        </is>
      </c>
      <c r="B73" s="18">
        <f>'Monthly P&amp;L'!B93</f>
        <v/>
      </c>
      <c r="C73" s="18">
        <f>'Monthly P&amp;L'!C93</f>
        <v/>
      </c>
      <c r="D73" s="18">
        <f>'Monthly P&amp;L'!D93</f>
        <v/>
      </c>
      <c r="E73" s="18">
        <f>'Monthly P&amp;L'!E93</f>
        <v/>
      </c>
      <c r="F73" s="18">
        <f>'Monthly P&amp;L'!F93</f>
        <v/>
      </c>
      <c r="G73" s="18">
        <f>'Monthly P&amp;L'!G93</f>
        <v/>
      </c>
      <c r="H73" s="18">
        <f>'Monthly P&amp;L'!H93</f>
        <v/>
      </c>
      <c r="I73" s="18">
        <f>'Monthly P&amp;L'!I93</f>
        <v/>
      </c>
      <c r="J73" s="18">
        <f>'Monthly P&amp;L'!J93</f>
        <v/>
      </c>
      <c r="K73" s="18">
        <f>'Monthly P&amp;L'!K93</f>
        <v/>
      </c>
      <c r="L73" s="18">
        <f>'Monthly P&amp;L'!L93</f>
        <v/>
      </c>
      <c r="M73" s="18">
        <f>'Monthly P&amp;L'!M93</f>
        <v/>
      </c>
      <c r="N73" s="18">
        <f>'Monthly P&amp;L'!N93</f>
        <v/>
      </c>
      <c r="O73" s="18">
        <f>'Monthly P&amp;L'!O93</f>
        <v/>
      </c>
      <c r="P73" s="18">
        <f>'Monthly P&amp;L'!P93</f>
        <v/>
      </c>
      <c r="Q73" s="18">
        <f>'Monthly P&amp;L'!Q93</f>
        <v/>
      </c>
      <c r="R73" s="18">
        <f>'Monthly P&amp;L'!R93</f>
        <v/>
      </c>
      <c r="S73" s="18">
        <f>'Monthly P&amp;L'!S93</f>
        <v/>
      </c>
      <c r="T73" s="18">
        <f>'Monthly P&amp;L'!T93</f>
        <v/>
      </c>
      <c r="U73" s="18">
        <f>'Monthly P&amp;L'!U93</f>
        <v/>
      </c>
      <c r="V73" s="18">
        <f>'Monthly P&amp;L'!V93</f>
        <v/>
      </c>
      <c r="W73" s="18">
        <f>'Monthly P&amp;L'!W93</f>
        <v/>
      </c>
      <c r="X73" s="18">
        <f>'Monthly P&amp;L'!X93</f>
        <v/>
      </c>
      <c r="Y73" s="18">
        <f>'Monthly P&amp;L'!Y93</f>
        <v/>
      </c>
      <c r="Z73" s="18">
        <f>'Monthly P&amp;L'!Z93</f>
        <v/>
      </c>
      <c r="AA73" s="18">
        <f>'Monthly P&amp;L'!AA93</f>
        <v/>
      </c>
      <c r="AB73" s="18">
        <f>'Monthly P&amp;L'!AB93</f>
        <v/>
      </c>
      <c r="AC73" s="18">
        <f>'Monthly P&amp;L'!AC93</f>
        <v/>
      </c>
      <c r="AD73" s="18">
        <f>'Monthly P&amp;L'!AD93</f>
        <v/>
      </c>
      <c r="AE73" s="18">
        <f>'Monthly P&amp;L'!AE93</f>
        <v/>
      </c>
      <c r="AF73" s="18">
        <f>'Monthly P&amp;L'!AF93</f>
        <v/>
      </c>
      <c r="AG73" s="18">
        <f>'Monthly P&amp;L'!AG93</f>
        <v/>
      </c>
      <c r="AH73" s="18">
        <f>'Monthly P&amp;L'!AH93</f>
        <v/>
      </c>
      <c r="AI73" s="18">
        <f>'Monthly P&amp;L'!AI93</f>
        <v/>
      </c>
      <c r="AJ73" s="18">
        <f>'Monthly P&amp;L'!AJ93</f>
        <v/>
      </c>
      <c r="AK73" s="18">
        <f>'Monthly P&amp;L'!AK93</f>
        <v/>
      </c>
      <c r="AL73" s="18">
        <f>'Monthly P&amp;L'!AL93</f>
        <v/>
      </c>
      <c r="AM73" s="18">
        <f>'Monthly P&amp;L'!AM93</f>
        <v/>
      </c>
      <c r="AN73" s="18">
        <f>'Monthly P&amp;L'!AN93</f>
        <v/>
      </c>
      <c r="AO73" s="18">
        <f>'Monthly P&amp;L'!AO93</f>
        <v/>
      </c>
      <c r="AP73" s="18">
        <f>'Monthly P&amp;L'!AP93</f>
        <v/>
      </c>
      <c r="AQ73" s="18">
        <f>'Monthly P&amp;L'!AQ93</f>
        <v/>
      </c>
      <c r="AR73" s="18">
        <f>'Monthly P&amp;L'!AR93</f>
        <v/>
      </c>
      <c r="AS73" s="18">
        <f>'Monthly P&amp;L'!AS93</f>
        <v/>
      </c>
      <c r="AT73" s="18">
        <f>'Monthly P&amp;L'!AT93</f>
        <v/>
      </c>
      <c r="AU73" s="18">
        <f>'Monthly P&amp;L'!AU93</f>
        <v/>
      </c>
      <c r="AV73" s="18">
        <f>'Monthly P&amp;L'!AV93</f>
        <v/>
      </c>
      <c r="AW73" s="18">
        <f>'Monthly P&amp;L'!AW93</f>
        <v/>
      </c>
      <c r="AX73" s="18">
        <f>'Monthly P&amp;L'!AX93</f>
        <v/>
      </c>
      <c r="AY73" s="18">
        <f>'Monthly P&amp;L'!AY93</f>
        <v/>
      </c>
      <c r="AZ73" s="18">
        <f>'Monthly P&amp;L'!AZ93</f>
        <v/>
      </c>
      <c r="BA73" s="18">
        <f>'Monthly P&amp;L'!BA93</f>
        <v/>
      </c>
    </row>
    <row r="74">
      <c r="A74" s="16" t="inlineStr">
        <is>
          <t>TOTAL OUTFLOWS</t>
        </is>
      </c>
      <c r="B74" s="19">
        <f>B12+B13+B14+B15+B16+B17+B18+B19+B20+B22+B23+B24+B25+B27+B28+B29+B30+B31+B32+B33+B34+B35+B36+B37+B38+B39+B41+B42+B43+B44+B45+B46+B48+B49+B51+B52+B54+B55+B57+B58+B59+B60+B61+B62+B63+B64+B65+B66+B67+B68+B69+B70+B71+B72+B73</f>
        <v/>
      </c>
      <c r="C74" s="19">
        <f>C12+C13+C14+C15+C16+C17+C18+C19+C20+C22+C23+C24+C25+C27+C28+C29+C30+C31+C32+C33+C34+C35+C36+C37+C38+C39+C41+C42+C43+C44+C45+C46+C48+C49+C51+C52+C54+C55+C57+C58+C59+C60+C61+C62+C63+C64+C65+C66+C67+C68+C69+C70+C71+C72+C73</f>
        <v/>
      </c>
      <c r="D74" s="19">
        <f>D12+D13+D14+D15+D16+D17+D18+D19+D20+D22+D23+D24+D25+D27+D28+D29+D30+D31+D32+D33+D34+D35+D36+D37+D38+D39+D41+D42+D43+D44+D45+D46+D48+D49+D51+D52+D54+D55+D57+D58+D59+D60+D61+D62+D63+D64+D65+D66+D67+D68+D69+D70+D71+D72+D73</f>
        <v/>
      </c>
      <c r="E74" s="19">
        <f>E12+E13+E14+E15+E16+E17+E18+E19+E20+E22+E23+E24+E25+E27+E28+E29+E30+E31+E32+E33+E34+E35+E36+E37+E38+E39+E41+E42+E43+E44+E45+E46+E48+E49+E51+E52+E54+E55+E57+E58+E59+E60+E61+E62+E63+E64+E65+E66+E67+E68+E69+E70+E71+E72+E73</f>
        <v/>
      </c>
      <c r="F74" s="19">
        <f>F12+F13+F14+F15+F16+F17+F18+F19+F20+F22+F23+F24+F25+F27+F28+F29+F30+F31+F32+F33+F34+F35+F36+F37+F38+F39+F41+F42+F43+F44+F45+F46+F48+F49+F51+F52+F54+F55+F57+F58+F59+F60+F61+F62+F63+F64+F65+F66+F67+F68+F69+F70+F71+F72+F73</f>
        <v/>
      </c>
      <c r="G74" s="19">
        <f>G12+G13+G14+G15+G16+G17+G18+G19+G20+G22+G23+G24+G25+G27+G28+G29+G30+G31+G32+G33+G34+G35+G36+G37+G38+G39+G41+G42+G43+G44+G45+G46+G48+G49+G51+G52+G54+G55+G57+G58+G59+G60+G61+G62+G63+G64+G65+G66+G67+G68+G69+G70+G71+G72+G73</f>
        <v/>
      </c>
      <c r="H74" s="19">
        <f>H12+H13+H14+H15+H16+H17+H18+H19+H20+H22+H23+H24+H25+H27+H28+H29+H30+H31+H32+H33+H34+H35+H36+H37+H38+H39+H41+H42+H43+H44+H45+H46+H48+H49+H51+H52+H54+H55+H57+H58+H59+H60+H61+H62+H63+H64+H65+H66+H67+H68+H69+H70+H71+H72+H73</f>
        <v/>
      </c>
      <c r="I74" s="19">
        <f>I12+I13+I14+I15+I16+I17+I18+I19+I20+I22+I23+I24+I25+I27+I28+I29+I30+I31+I32+I33+I34+I35+I36+I37+I38+I39+I41+I42+I43+I44+I45+I46+I48+I49+I51+I52+I54+I55+I57+I58+I59+I60+I61+I62+I63+I64+I65+I66+I67+I68+I69+I70+I71+I72+I73</f>
        <v/>
      </c>
      <c r="J74" s="19">
        <f>J12+J13+J14+J15+J16+J17+J18+J19+J20+J22+J23+J24+J25+J27+J28+J29+J30+J31+J32+J33+J34+J35+J36+J37+J38+J39+J41+J42+J43+J44+J45+J46+J48+J49+J51+J52+J54+J55+J57+J58+J59+J60+J61+J62+J63+J64+J65+J66+J67+J68+J69+J70+J71+J72+J73</f>
        <v/>
      </c>
      <c r="K74" s="19">
        <f>K12+K13+K14+K15+K16+K17+K18+K19+K20+K22+K23+K24+K25+K27+K28+K29+K30+K31+K32+K33+K34+K35+K36+K37+K38+K39+K41+K42+K43+K44+K45+K46+K48+K49+K51+K52+K54+K55+K57+K58+K59+K60+K61+K62+K63+K64+K65+K66+K67+K68+K69+K70+K71+K72+K73</f>
        <v/>
      </c>
      <c r="L74" s="19">
        <f>L12+L13+L14+L15+L16+L17+L18+L19+L20+L22+L23+L24+L25+L27+L28+L29+L30+L31+L32+L33+L34+L35+L36+L37+L38+L39+L41+L42+L43+L44+L45+L46+L48+L49+L51+L52+L54+L55+L57+L58+L59+L60+L61+L62+L63+L64+L65+L66+L67+L68+L69+L70+L71+L72+L73</f>
        <v/>
      </c>
      <c r="M74" s="19">
        <f>M12+M13+M14+M15+M16+M17+M18+M19+M20+M22+M23+M24+M25+M27+M28+M29+M30+M31+M32+M33+M34+M35+M36+M37+M38+M39+M41+M42+M43+M44+M45+M46+M48+M49+M51+M52+M54+M55+M57+M58+M59+M60+M61+M62+M63+M64+M65+M66+M67+M68+M69+M70+M71+M72+M73</f>
        <v/>
      </c>
      <c r="N74" s="19">
        <f>N12+N13+N14+N15+N16+N17+N18+N19+N20+N22+N23+N24+N25+N27+N28+N29+N30+N31+N32+N33+N34+N35+N36+N37+N38+N39+N41+N42+N43+N44+N45+N46+N48+N49+N51+N52+N54+N55+N57+N58+N59+N60+N61+N62+N63+N64+N65+N66+N67+N68+N69+N70+N71+N72+N73</f>
        <v/>
      </c>
      <c r="O74" s="19">
        <f>O12+O13+O14+O15+O16+O17+O18+O19+O20+O22+O23+O24+O25+O27+O28+O29+O30+O31+O32+O33+O34+O35+O36+O37+O38+O39+O41+O42+O43+O44+O45+O46+O48+O49+O51+O52+O54+O55+O57+O58+O59+O60+O61+O62+O63+O64+O65+O66+O67+O68+O69+O70+O71+O72+O73</f>
        <v/>
      </c>
      <c r="P74" s="19">
        <f>P12+P13+P14+P15+P16+P17+P18+P19+P20+P22+P23+P24+P25+P27+P28+P29+P30+P31+P32+P33+P34+P35+P36+P37+P38+P39+P41+P42+P43+P44+P45+P46+P48+P49+P51+P52+P54+P55+P57+P58+P59+P60+P61+P62+P63+P64+P65+P66+P67+P68+P69+P70+P71+P72+P73</f>
        <v/>
      </c>
      <c r="Q74" s="19">
        <f>Q12+Q13+Q14+Q15+Q16+Q17+Q18+Q19+Q20+Q22+Q23+Q24+Q25+Q27+Q28+Q29+Q30+Q31+Q32+Q33+Q34+Q35+Q36+Q37+Q38+Q39+Q41+Q42+Q43+Q44+Q45+Q46+Q48+Q49+Q51+Q52+Q54+Q55+Q57+Q58+Q59+Q60+Q61+Q62+Q63+Q64+Q65+Q66+Q67+Q68+Q69+Q70+Q71+Q72+Q73</f>
        <v/>
      </c>
      <c r="R74" s="19">
        <f>R12+R13+R14+R15+R16+R17+R18+R19+R20+R22+R23+R24+R25+R27+R28+R29+R30+R31+R32+R33+R34+R35+R36+R37+R38+R39+R41+R42+R43+R44+R45+R46+R48+R49+R51+R52+R54+R55+R57+R58+R59+R60+R61+R62+R63+R64+R65+R66+R67+R68+R69+R70+R71+R72+R73</f>
        <v/>
      </c>
      <c r="S74" s="19">
        <f>S12+S13+S14+S15+S16+S17+S18+S19+S20+S22+S23+S24+S25+S27+S28+S29+S30+S31+S32+S33+S34+S35+S36+S37+S38+S39+S41+S42+S43+S44+S45+S46+S48+S49+S51+S52+S54+S55+S57+S58+S59+S60+S61+S62+S63+S64+S65+S66+S67+S68+S69+S70+S71+S72+S73</f>
        <v/>
      </c>
      <c r="T74" s="19">
        <f>T12+T13+T14+T15+T16+T17+T18+T19+T20+T22+T23+T24+T25+T27+T28+T29+T30+T31+T32+T33+T34+T35+T36+T37+T38+T39+T41+T42+T43+T44+T45+T46+T48+T49+T51+T52+T54+T55+T57+T58+T59+T60+T61+T62+T63+T64+T65+T66+T67+T68+T69+T70+T71+T72+T73</f>
        <v/>
      </c>
      <c r="U74" s="19">
        <f>U12+U13+U14+U15+U16+U17+U18+U19+U20+U22+U23+U24+U25+U27+U28+U29+U30+U31+U32+U33+U34+U35+U36+U37+U38+U39+U41+U42+U43+U44+U45+U46+U48+U49+U51+U52+U54+U55+U57+U58+U59+U60+U61+U62+U63+U64+U65+U66+U67+U68+U69+U70+U71+U72+U73</f>
        <v/>
      </c>
      <c r="V74" s="19">
        <f>V12+V13+V14+V15+V16+V17+V18+V19+V20+V22+V23+V24+V25+V27+V28+V29+V30+V31+V32+V33+V34+V35+V36+V37+V38+V39+V41+V42+V43+V44+V45+V46+V48+V49+V51+V52+V54+V55+V57+V58+V59+V60+V61+V62+V63+V64+V65+V66+V67+V68+V69+V70+V71+V72+V73</f>
        <v/>
      </c>
      <c r="W74" s="19">
        <f>W12+W13+W14+W15+W16+W17+W18+W19+W20+W22+W23+W24+W25+W27+W28+W29+W30+W31+W32+W33+W34+W35+W36+W37+W38+W39+W41+W42+W43+W44+W45+W46+W48+W49+W51+W52+W54+W55+W57+W58+W59+W60+W61+W62+W63+W64+W65+W66+W67+W68+W69+W70+W71+W72+W73</f>
        <v/>
      </c>
      <c r="X74" s="19">
        <f>X12+X13+X14+X15+X16+X17+X18+X19+X20+X22+X23+X24+X25+X27+X28+X29+X30+X31+X32+X33+X34+X35+X36+X37+X38+X39+X41+X42+X43+X44+X45+X46+X48+X49+X51+X52+X54+X55+X57+X58+X59+X60+X61+X62+X63+X64+X65+X66+X67+X68+X69+X70+X71+X72+X73</f>
        <v/>
      </c>
      <c r="Y74" s="19">
        <f>Y12+Y13+Y14+Y15+Y16+Y17+Y18+Y19+Y20+Y22+Y23+Y24+Y25+Y27+Y28+Y29+Y30+Y31+Y32+Y33+Y34+Y35+Y36+Y37+Y38+Y39+Y41+Y42+Y43+Y44+Y45+Y46+Y48+Y49+Y51+Y52+Y54+Y55+Y57+Y58+Y59+Y60+Y61+Y62+Y63+Y64+Y65+Y66+Y67+Y68+Y69+Y70+Y71+Y72+Y73</f>
        <v/>
      </c>
      <c r="Z74" s="19">
        <f>Z12+Z13+Z14+Z15+Z16+Z17+Z18+Z19+Z20+Z22+Z23+Z24+Z25+Z27+Z28+Z29+Z30+Z31+Z32+Z33+Z34+Z35+Z36+Z37+Z38+Z39+Z41+Z42+Z43+Z44+Z45+Z46+Z48+Z49+Z51+Z52+Z54+Z55+Z57+Z58+Z59+Z60+Z61+Z62+Z63+Z64+Z65+Z66+Z67+Z68+Z69+Z70+Z71+Z72+Z73</f>
        <v/>
      </c>
      <c r="AA74" s="19">
        <f>AA12+AA13+AA14+AA15+AA16+AA17+AA18+AA19+AA20+AA22+AA23+AA24+AA25+AA27+AA28+AA29+AA30+AA31+AA32+AA33+AA34+AA35+AA36+AA37+AA38+AA39+AA41+AA42+AA43+AA44+AA45+AA46+AA48+AA49+AA51+AA52+AA54+AA55+AA57+AA58+AA59+AA60+AA61+AA62+AA63+AA64+AA65+AA66+AA67+AA68+AA69+AA70+AA71+AA72+AA73</f>
        <v/>
      </c>
      <c r="AB74" s="19">
        <f>AB12+AB13+AB14+AB15+AB16+AB17+AB18+AB19+AB20+AB22+AB23+AB24+AB25+AB27+AB28+AB29+AB30+AB31+AB32+AB33+AB34+AB35+AB36+AB37+AB38+AB39+AB41+AB42+AB43+AB44+AB45+AB46+AB48+AB49+AB51+AB52+AB54+AB55+AB57+AB58+AB59+AB60+AB61+AB62+AB63+AB64+AB65+AB66+AB67+AB68+AB69+AB70+AB71+AB72+AB73</f>
        <v/>
      </c>
      <c r="AC74" s="19">
        <f>AC12+AC13+AC14+AC15+AC16+AC17+AC18+AC19+AC20+AC22+AC23+AC24+AC25+AC27+AC28+AC29+AC30+AC31+AC32+AC33+AC34+AC35+AC36+AC37+AC38+AC39+AC41+AC42+AC43+AC44+AC45+AC46+AC48+AC49+AC51+AC52+AC54+AC55+AC57+AC58+AC59+AC60+AC61+AC62+AC63+AC64+AC65+AC66+AC67+AC68+AC69+AC70+AC71+AC72+AC73</f>
        <v/>
      </c>
      <c r="AD74" s="19">
        <f>AD12+AD13+AD14+AD15+AD16+AD17+AD18+AD19+AD20+AD22+AD23+AD24+AD25+AD27+AD28+AD29+AD30+AD31+AD32+AD33+AD34+AD35+AD36+AD37+AD38+AD39+AD41+AD42+AD43+AD44+AD45+AD46+AD48+AD49+AD51+AD52+AD54+AD55+AD57+AD58+AD59+AD60+AD61+AD62+AD63+AD64+AD65+AD66+AD67+AD68+AD69+AD70+AD71+AD72+AD73</f>
        <v/>
      </c>
      <c r="AE74" s="19">
        <f>AE12+AE13+AE14+AE15+AE16+AE17+AE18+AE19+AE20+AE22+AE23+AE24+AE25+AE27+AE28+AE29+AE30+AE31+AE32+AE33+AE34+AE35+AE36+AE37+AE38+AE39+AE41+AE42+AE43+AE44+AE45+AE46+AE48+AE49+AE51+AE52+AE54+AE55+AE57+AE58+AE59+AE60+AE61+AE62+AE63+AE64+AE65+AE66+AE67+AE68+AE69+AE70+AE71+AE72+AE73</f>
        <v/>
      </c>
      <c r="AF74" s="19">
        <f>AF12+AF13+AF14+AF15+AF16+AF17+AF18+AF19+AF20+AF22+AF23+AF24+AF25+AF27+AF28+AF29+AF30+AF31+AF32+AF33+AF34+AF35+AF36+AF37+AF38+AF39+AF41+AF42+AF43+AF44+AF45+AF46+AF48+AF49+AF51+AF52+AF54+AF55+AF57+AF58+AF59+AF60+AF61+AF62+AF63+AF64+AF65+AF66+AF67+AF68+AF69+AF70+AF71+AF72+AF73</f>
        <v/>
      </c>
      <c r="AG74" s="19">
        <f>AG12+AG13+AG14+AG15+AG16+AG17+AG18+AG19+AG20+AG22+AG23+AG24+AG25+AG27+AG28+AG29+AG30+AG31+AG32+AG33+AG34+AG35+AG36+AG37+AG38+AG39+AG41+AG42+AG43+AG44+AG45+AG46+AG48+AG49+AG51+AG52+AG54+AG55+AG57+AG58+AG59+AG60+AG61+AG62+AG63+AG64+AG65+AG66+AG67+AG68+AG69+AG70+AG71+AG72+AG73</f>
        <v/>
      </c>
      <c r="AH74" s="19">
        <f>AH12+AH13+AH14+AH15+AH16+AH17+AH18+AH19+AH20+AH22+AH23+AH24+AH25+AH27+AH28+AH29+AH30+AH31+AH32+AH33+AH34+AH35+AH36+AH37+AH38+AH39+AH41+AH42+AH43+AH44+AH45+AH46+AH48+AH49+AH51+AH52+AH54+AH55+AH57+AH58+AH59+AH60+AH61+AH62+AH63+AH64+AH65+AH66+AH67+AH68+AH69+AH70+AH71+AH72+AH73</f>
        <v/>
      </c>
      <c r="AI74" s="19">
        <f>AI12+AI13+AI14+AI15+AI16+AI17+AI18+AI19+AI20+AI22+AI23+AI24+AI25+AI27+AI28+AI29+AI30+AI31+AI32+AI33+AI34+AI35+AI36+AI37+AI38+AI39+AI41+AI42+AI43+AI44+AI45+AI46+AI48+AI49+AI51+AI52+AI54+AI55+AI57+AI58+AI59+AI60+AI61+AI62+AI63+AI64+AI65+AI66+AI67+AI68+AI69+AI70+AI71+AI72+AI73</f>
        <v/>
      </c>
      <c r="AJ74" s="19">
        <f>AJ12+AJ13+AJ14+AJ15+AJ16+AJ17+AJ18+AJ19+AJ20+AJ22+AJ23+AJ24+AJ25+AJ27+AJ28+AJ29+AJ30+AJ31+AJ32+AJ33+AJ34+AJ35+AJ36+AJ37+AJ38+AJ39+AJ41+AJ42+AJ43+AJ44+AJ45+AJ46+AJ48+AJ49+AJ51+AJ52+AJ54+AJ55+AJ57+AJ58+AJ59+AJ60+AJ61+AJ62+AJ63+AJ64+AJ65+AJ66+AJ67+AJ68+AJ69+AJ70+AJ71+AJ72+AJ73</f>
        <v/>
      </c>
      <c r="AK74" s="19">
        <f>AK12+AK13+AK14+AK15+AK16+AK17+AK18+AK19+AK20+AK22+AK23+AK24+AK25+AK27+AK28+AK29+AK30+AK31+AK32+AK33+AK34+AK35+AK36+AK37+AK38+AK39+AK41+AK42+AK43+AK44+AK45+AK46+AK48+AK49+AK51+AK52+AK54+AK55+AK57+AK58+AK59+AK60+AK61+AK62+AK63+AK64+AK65+AK66+AK67+AK68+AK69+AK70+AK71+AK72+AK73</f>
        <v/>
      </c>
      <c r="AL74" s="19">
        <f>AL12+AL13+AL14+AL15+AL16+AL17+AL18+AL19+AL20+AL22+AL23+AL24+AL25+AL27+AL28+AL29+AL30+AL31+AL32+AL33+AL34+AL35+AL36+AL37+AL38+AL39+AL41+AL42+AL43+AL44+AL45+AL46+AL48+AL49+AL51+AL52+AL54+AL55+AL57+AL58+AL59+AL60+AL61+AL62+AL63+AL64+AL65+AL66+AL67+AL68+AL69+AL70+AL71+AL72+AL73</f>
        <v/>
      </c>
      <c r="AM74" s="19">
        <f>AM12+AM13+AM14+AM15+AM16+AM17+AM18+AM19+AM20+AM22+AM23+AM24+AM25+AM27+AM28+AM29+AM30+AM31+AM32+AM33+AM34+AM35+AM36+AM37+AM38+AM39+AM41+AM42+AM43+AM44+AM45+AM46+AM48+AM49+AM51+AM52+AM54+AM55+AM57+AM58+AM59+AM60+AM61+AM62+AM63+AM64+AM65+AM66+AM67+AM68+AM69+AM70+AM71+AM72+AM73</f>
        <v/>
      </c>
      <c r="AN74" s="19">
        <f>AN12+AN13+AN14+AN15+AN16+AN17+AN18+AN19+AN20+AN22+AN23+AN24+AN25+AN27+AN28+AN29+AN30+AN31+AN32+AN33+AN34+AN35+AN36+AN37+AN38+AN39+AN41+AN42+AN43+AN44+AN45+AN46+AN48+AN49+AN51+AN52+AN54+AN55+AN57+AN58+AN59+AN60+AN61+AN62+AN63+AN64+AN65+AN66+AN67+AN68+AN69+AN70+AN71+AN72+AN73</f>
        <v/>
      </c>
      <c r="AO74" s="19">
        <f>AO12+AO13+AO14+AO15+AO16+AO17+AO18+AO19+AO20+AO22+AO23+AO24+AO25+AO27+AO28+AO29+AO30+AO31+AO32+AO33+AO34+AO35+AO36+AO37+AO38+AO39+AO41+AO42+AO43+AO44+AO45+AO46+AO48+AO49+AO51+AO52+AO54+AO55+AO57+AO58+AO59+AO60+AO61+AO62+AO63+AO64+AO65+AO66+AO67+AO68+AO69+AO70+AO71+AO72+AO73</f>
        <v/>
      </c>
      <c r="AP74" s="19">
        <f>AP12+AP13+AP14+AP15+AP16+AP17+AP18+AP19+AP20+AP22+AP23+AP24+AP25+AP27+AP28+AP29+AP30+AP31+AP32+AP33+AP34+AP35+AP36+AP37+AP38+AP39+AP41+AP42+AP43+AP44+AP45+AP46+AP48+AP49+AP51+AP52+AP54+AP55+AP57+AP58+AP59+AP60+AP61+AP62+AP63+AP64+AP65+AP66+AP67+AP68+AP69+AP70+AP71+AP72+AP73</f>
        <v/>
      </c>
      <c r="AQ74" s="19">
        <f>AQ12+AQ13+AQ14+AQ15+AQ16+AQ17+AQ18+AQ19+AQ20+AQ22+AQ23+AQ24+AQ25+AQ27+AQ28+AQ29+AQ30+AQ31+AQ32+AQ33+AQ34+AQ35+AQ36+AQ37+AQ38+AQ39+AQ41+AQ42+AQ43+AQ44+AQ45+AQ46+AQ48+AQ49+AQ51+AQ52+AQ54+AQ55+AQ57+AQ58+AQ59+AQ60+AQ61+AQ62+AQ63+AQ64+AQ65+AQ66+AQ67+AQ68+AQ69+AQ70+AQ71+AQ72+AQ73</f>
        <v/>
      </c>
      <c r="AR74" s="19">
        <f>AR12+AR13+AR14+AR15+AR16+AR17+AR18+AR19+AR20+AR22+AR23+AR24+AR25+AR27+AR28+AR29+AR30+AR31+AR32+AR33+AR34+AR35+AR36+AR37+AR38+AR39+AR41+AR42+AR43+AR44+AR45+AR46+AR48+AR49+AR51+AR52+AR54+AR55+AR57+AR58+AR59+AR60+AR61+AR62+AR63+AR64+AR65+AR66+AR67+AR68+AR69+AR70+AR71+AR72+AR73</f>
        <v/>
      </c>
      <c r="AS74" s="19">
        <f>AS12+AS13+AS14+AS15+AS16+AS17+AS18+AS19+AS20+AS22+AS23+AS24+AS25+AS27+AS28+AS29+AS30+AS31+AS32+AS33+AS34+AS35+AS36+AS37+AS38+AS39+AS41+AS42+AS43+AS44+AS45+AS46+AS48+AS49+AS51+AS52+AS54+AS55+AS57+AS58+AS59+AS60+AS61+AS62+AS63+AS64+AS65+AS66+AS67+AS68+AS69+AS70+AS71+AS72+AS73</f>
        <v/>
      </c>
      <c r="AT74" s="19">
        <f>AT12+AT13+AT14+AT15+AT16+AT17+AT18+AT19+AT20+AT22+AT23+AT24+AT25+AT27+AT28+AT29+AT30+AT31+AT32+AT33+AT34+AT35+AT36+AT37+AT38+AT39+AT41+AT42+AT43+AT44+AT45+AT46+AT48+AT49+AT51+AT52+AT54+AT55+AT57+AT58+AT59+AT60+AT61+AT62+AT63+AT64+AT65+AT66+AT67+AT68+AT69+AT70+AT71+AT72+AT73</f>
        <v/>
      </c>
      <c r="AU74" s="19">
        <f>AU12+AU13+AU14+AU15+AU16+AU17+AU18+AU19+AU20+AU22+AU23+AU24+AU25+AU27+AU28+AU29+AU30+AU31+AU32+AU33+AU34+AU35+AU36+AU37+AU38+AU39+AU41+AU42+AU43+AU44+AU45+AU46+AU48+AU49+AU51+AU52+AU54+AU55+AU57+AU58+AU59+AU60+AU61+AU62+AU63+AU64+AU65+AU66+AU67+AU68+AU69+AU70+AU71+AU72+AU73</f>
        <v/>
      </c>
      <c r="AV74" s="19">
        <f>AV12+AV13+AV14+AV15+AV16+AV17+AV18+AV19+AV20+AV22+AV23+AV24+AV25+AV27+AV28+AV29+AV30+AV31+AV32+AV33+AV34+AV35+AV36+AV37+AV38+AV39+AV41+AV42+AV43+AV44+AV45+AV46+AV48+AV49+AV51+AV52+AV54+AV55+AV57+AV58+AV59+AV60+AV61+AV62+AV63+AV64+AV65+AV66+AV67+AV68+AV69+AV70+AV71+AV72+AV73</f>
        <v/>
      </c>
      <c r="AW74" s="19">
        <f>AW12+AW13+AW14+AW15+AW16+AW17+AW18+AW19+AW20+AW22+AW23+AW24+AW25+AW27+AW28+AW29+AW30+AW31+AW32+AW33+AW34+AW35+AW36+AW37+AW38+AW39+AW41+AW42+AW43+AW44+AW45+AW46+AW48+AW49+AW51+AW52+AW54+AW55+AW57+AW58+AW59+AW60+AW61+AW62+AW63+AW64+AW65+AW66+AW67+AW68+AW69+AW70+AW71+AW72+AW73</f>
        <v/>
      </c>
      <c r="AX74" s="20">
        <f>AX12+AX13+AX14+AX15+AX16+AX17+AX18+AX19+AX20+AX22+AX23+AX24+AX25+AX27+AX28+AX29+AX30+AX31+AX32+AX33+AX34+AX35+AX36+AX37+AX38+AX39+AX41+AX42+AX43+AX44+AX45+AX46+AX48+AX49+AX51+AX52+AX54+AX55+AX57+AX58+AX59+AX60+AX61+AX62+AX63+AX64+AX65+AX66+AX67+AX68+AX69+AX70+AX71+AX72+AX73</f>
        <v/>
      </c>
      <c r="AY74" s="20">
        <f>AY12+AY13+AY14+AY15+AY16+AY17+AY18+AY19+AY20+AY22+AY23+AY24+AY25+AY27+AY28+AY29+AY30+AY31+AY32+AY33+AY34+AY35+AY36+AY37+AY38+AY39+AY41+AY42+AY43+AY44+AY45+AY46+AY48+AY49+AY51+AY52+AY54+AY55+AY57+AY58+AY59+AY60+AY61+AY62+AY63+AY64+AY65+AY66+AY67+AY68+AY69+AY70+AY71+AY72+AY73</f>
        <v/>
      </c>
      <c r="AZ74" s="20">
        <f>AZ12+AZ13+AZ14+AZ15+AZ16+AZ17+AZ18+AZ19+AZ20+AZ22+AZ23+AZ24+AZ25+AZ27+AZ28+AZ29+AZ30+AZ31+AZ32+AZ33+AZ34+AZ35+AZ36+AZ37+AZ38+AZ39+AZ41+AZ42+AZ43+AZ44+AZ45+AZ46+AZ48+AZ49+AZ51+AZ52+AZ54+AZ55+AZ57+AZ58+AZ59+AZ60+AZ61+AZ62+AZ63+AZ64+AZ65+AZ66+AZ67+AZ68+AZ69+AZ70+AZ71+AZ72+AZ73</f>
        <v/>
      </c>
      <c r="BA74" s="20">
        <f>BA12+BA13+BA14+BA15+BA16+BA17+BA18+BA19+BA20+BA22+BA23+BA24+BA25+BA27+BA28+BA29+BA30+BA31+BA32+BA33+BA34+BA35+BA36+BA37+BA38+BA39+BA41+BA42+BA43+BA44+BA45+BA46+BA48+BA49+BA51+BA52+BA54+BA55+BA57+BA58+BA59+BA60+BA61+BA62+BA63+BA64+BA65+BA66+BA67+BA68+BA69+BA70+BA71+BA72+BA73</f>
        <v/>
      </c>
    </row>
    <row r="76">
      <c r="A76" s="2" t="inlineStr">
        <is>
          <t>NET CASH FLOW</t>
        </is>
      </c>
    </row>
    <row r="77">
      <c r="A77" s="16" t="inlineStr">
        <is>
          <t>Net cash flow</t>
        </is>
      </c>
      <c r="B77" s="19">
        <f>B8-B74</f>
        <v/>
      </c>
      <c r="C77" s="19">
        <f>C8-C74</f>
        <v/>
      </c>
      <c r="D77" s="19">
        <f>D8-D74</f>
        <v/>
      </c>
      <c r="E77" s="19">
        <f>E8-E74</f>
        <v/>
      </c>
      <c r="F77" s="19">
        <f>F8-F74</f>
        <v/>
      </c>
      <c r="G77" s="19">
        <f>G8-G74</f>
        <v/>
      </c>
      <c r="H77" s="19">
        <f>H8-H74</f>
        <v/>
      </c>
      <c r="I77" s="19">
        <f>I8-I74</f>
        <v/>
      </c>
      <c r="J77" s="19">
        <f>J8-J74</f>
        <v/>
      </c>
      <c r="K77" s="19">
        <f>K8-K74</f>
        <v/>
      </c>
      <c r="L77" s="19">
        <f>L8-L74</f>
        <v/>
      </c>
      <c r="M77" s="19">
        <f>M8-M74</f>
        <v/>
      </c>
      <c r="N77" s="19">
        <f>N8-N74</f>
        <v/>
      </c>
      <c r="O77" s="19">
        <f>O8-O74</f>
        <v/>
      </c>
      <c r="P77" s="19">
        <f>P8-P74</f>
        <v/>
      </c>
      <c r="Q77" s="19">
        <f>Q8-Q74</f>
        <v/>
      </c>
      <c r="R77" s="19">
        <f>R8-R74</f>
        <v/>
      </c>
      <c r="S77" s="19">
        <f>S8-S74</f>
        <v/>
      </c>
      <c r="T77" s="19">
        <f>T8-T74</f>
        <v/>
      </c>
      <c r="U77" s="19">
        <f>U8-U74</f>
        <v/>
      </c>
      <c r="V77" s="19">
        <f>V8-V74</f>
        <v/>
      </c>
      <c r="W77" s="19">
        <f>W8-W74</f>
        <v/>
      </c>
      <c r="X77" s="19">
        <f>X8-X74</f>
        <v/>
      </c>
      <c r="Y77" s="19">
        <f>Y8-Y74</f>
        <v/>
      </c>
      <c r="Z77" s="19">
        <f>Z8-Z74</f>
        <v/>
      </c>
      <c r="AA77" s="19">
        <f>AA8-AA74</f>
        <v/>
      </c>
      <c r="AB77" s="19">
        <f>AB8-AB74</f>
        <v/>
      </c>
      <c r="AC77" s="19">
        <f>AC8-AC74</f>
        <v/>
      </c>
      <c r="AD77" s="19">
        <f>AD8-AD74</f>
        <v/>
      </c>
      <c r="AE77" s="19">
        <f>AE8-AE74</f>
        <v/>
      </c>
      <c r="AF77" s="19">
        <f>AF8-AF74</f>
        <v/>
      </c>
      <c r="AG77" s="19">
        <f>AG8-AG74</f>
        <v/>
      </c>
      <c r="AH77" s="19">
        <f>AH8-AH74</f>
        <v/>
      </c>
      <c r="AI77" s="19">
        <f>AI8-AI74</f>
        <v/>
      </c>
      <c r="AJ77" s="19">
        <f>AJ8-AJ74</f>
        <v/>
      </c>
      <c r="AK77" s="19">
        <f>AK8-AK74</f>
        <v/>
      </c>
      <c r="AL77" s="19">
        <f>AL8-AL74</f>
        <v/>
      </c>
      <c r="AM77" s="19">
        <f>AM8-AM74</f>
        <v/>
      </c>
      <c r="AN77" s="19">
        <f>AN8-AN74</f>
        <v/>
      </c>
      <c r="AO77" s="19">
        <f>AO8-AO74</f>
        <v/>
      </c>
      <c r="AP77" s="19">
        <f>AP8-AP74</f>
        <v/>
      </c>
      <c r="AQ77" s="19">
        <f>AQ8-AQ74</f>
        <v/>
      </c>
      <c r="AR77" s="19">
        <f>AR8-AR74</f>
        <v/>
      </c>
      <c r="AS77" s="19">
        <f>AS8-AS74</f>
        <v/>
      </c>
      <c r="AT77" s="19">
        <f>AT8-AT74</f>
        <v/>
      </c>
      <c r="AU77" s="19">
        <f>AU8-AU74</f>
        <v/>
      </c>
      <c r="AV77" s="19">
        <f>AV8-AV74</f>
        <v/>
      </c>
      <c r="AW77" s="19">
        <f>AW8-AW74</f>
        <v/>
      </c>
      <c r="AX77" s="20">
        <f>AX8-AX74</f>
        <v/>
      </c>
      <c r="AY77" s="20">
        <f>AY8-AY74</f>
        <v/>
      </c>
      <c r="AZ77" s="20">
        <f>AZ8-AZ74</f>
        <v/>
      </c>
      <c r="BA77" s="20">
        <f>BA8-BA74</f>
        <v/>
      </c>
    </row>
    <row r="78">
      <c r="A78" s="16" t="inlineStr">
        <is>
          <t>Closing cash balance</t>
        </is>
      </c>
      <c r="B78" s="19">
        <f>B77</f>
        <v/>
      </c>
      <c r="C78" s="19">
        <f>B78+C77</f>
        <v/>
      </c>
      <c r="D78" s="19">
        <f>C78+D77</f>
        <v/>
      </c>
      <c r="E78" s="19">
        <f>D78+E77</f>
        <v/>
      </c>
      <c r="F78" s="19">
        <f>E78+F77</f>
        <v/>
      </c>
      <c r="G78" s="19">
        <f>F78+G77</f>
        <v/>
      </c>
      <c r="H78" s="19">
        <f>G78+H77</f>
        <v/>
      </c>
      <c r="I78" s="19">
        <f>H78+I77</f>
        <v/>
      </c>
      <c r="J78" s="19">
        <f>I78+J77</f>
        <v/>
      </c>
      <c r="K78" s="19">
        <f>J78+K77</f>
        <v/>
      </c>
      <c r="L78" s="19">
        <f>K78+L77</f>
        <v/>
      </c>
      <c r="M78" s="19">
        <f>L78+M77</f>
        <v/>
      </c>
      <c r="N78" s="19">
        <f>M78+N77</f>
        <v/>
      </c>
      <c r="O78" s="19">
        <f>N78+O77</f>
        <v/>
      </c>
      <c r="P78" s="19">
        <f>O78+P77</f>
        <v/>
      </c>
      <c r="Q78" s="19">
        <f>P78+Q77</f>
        <v/>
      </c>
      <c r="R78" s="19">
        <f>Q78+R77</f>
        <v/>
      </c>
      <c r="S78" s="19">
        <f>R78+S77</f>
        <v/>
      </c>
      <c r="T78" s="19">
        <f>S78+T77</f>
        <v/>
      </c>
      <c r="U78" s="19">
        <f>T78+U77</f>
        <v/>
      </c>
      <c r="V78" s="19">
        <f>U78+V77</f>
        <v/>
      </c>
      <c r="W78" s="19">
        <f>V78+W77</f>
        <v/>
      </c>
      <c r="X78" s="19">
        <f>W78+X77</f>
        <v/>
      </c>
      <c r="Y78" s="19">
        <f>X78+Y77</f>
        <v/>
      </c>
      <c r="Z78" s="19">
        <f>Y78+Z77</f>
        <v/>
      </c>
      <c r="AA78" s="19">
        <f>Z78+AA77</f>
        <v/>
      </c>
      <c r="AB78" s="19">
        <f>AA78+AB77</f>
        <v/>
      </c>
      <c r="AC78" s="19">
        <f>AB78+AC77</f>
        <v/>
      </c>
      <c r="AD78" s="19">
        <f>AC78+AD77</f>
        <v/>
      </c>
      <c r="AE78" s="19">
        <f>AD78+AE77</f>
        <v/>
      </c>
      <c r="AF78" s="19">
        <f>AE78+AF77</f>
        <v/>
      </c>
      <c r="AG78" s="19">
        <f>AF78+AG77</f>
        <v/>
      </c>
      <c r="AH78" s="19">
        <f>AG78+AH77</f>
        <v/>
      </c>
      <c r="AI78" s="19">
        <f>AH78+AI77</f>
        <v/>
      </c>
      <c r="AJ78" s="19">
        <f>AI78+AJ77</f>
        <v/>
      </c>
      <c r="AK78" s="19">
        <f>AJ78+AK77</f>
        <v/>
      </c>
      <c r="AL78" s="19">
        <f>AK78+AL77</f>
        <v/>
      </c>
      <c r="AM78" s="19">
        <f>AL78+AM77</f>
        <v/>
      </c>
      <c r="AN78" s="19">
        <f>AM78+AN77</f>
        <v/>
      </c>
      <c r="AO78" s="19">
        <f>AN78+AO77</f>
        <v/>
      </c>
      <c r="AP78" s="19">
        <f>AO78+AP77</f>
        <v/>
      </c>
      <c r="AQ78" s="19">
        <f>AP78+AQ77</f>
        <v/>
      </c>
      <c r="AR78" s="19">
        <f>AQ78+AR77</f>
        <v/>
      </c>
      <c r="AS78" s="19">
        <f>AR78+AS77</f>
        <v/>
      </c>
      <c r="AT78" s="19">
        <f>AS78+AT77</f>
        <v/>
      </c>
      <c r="AU78" s="19">
        <f>AT78+AU77</f>
        <v/>
      </c>
      <c r="AV78" s="19">
        <f>AU78+AV77</f>
        <v/>
      </c>
      <c r="AW78" s="19">
        <f>AV78+AW77</f>
        <v/>
      </c>
      <c r="AX78" s="20">
        <f>M78</f>
        <v/>
      </c>
      <c r="AY78" s="20">
        <f>Y78</f>
        <v/>
      </c>
      <c r="AZ78" s="20">
        <f>AK78</f>
        <v/>
      </c>
      <c r="BA78" s="20">
        <f>AW78</f>
        <v/>
      </c>
    </row>
    <row r="79">
      <c r="A79" s="3" t="inlineStr">
        <is>
          <t>Net burn (costs - revenue)</t>
        </is>
      </c>
      <c r="B79" s="18">
        <f>B74-B7</f>
        <v/>
      </c>
      <c r="C79" s="18">
        <f>C74-C7</f>
        <v/>
      </c>
      <c r="D79" s="18">
        <f>D74-D7</f>
        <v/>
      </c>
      <c r="E79" s="18">
        <f>E74-E7</f>
        <v/>
      </c>
      <c r="F79" s="18">
        <f>F74-F7</f>
        <v/>
      </c>
      <c r="G79" s="18">
        <f>G74-G7</f>
        <v/>
      </c>
      <c r="H79" s="18">
        <f>H74-H7</f>
        <v/>
      </c>
      <c r="I79" s="18">
        <f>I74-I7</f>
        <v/>
      </c>
      <c r="J79" s="18">
        <f>J74-J7</f>
        <v/>
      </c>
      <c r="K79" s="18">
        <f>K74-K7</f>
        <v/>
      </c>
      <c r="L79" s="18">
        <f>L74-L7</f>
        <v/>
      </c>
      <c r="M79" s="18">
        <f>M74-M7</f>
        <v/>
      </c>
      <c r="N79" s="18">
        <f>N74-N7</f>
        <v/>
      </c>
      <c r="O79" s="18">
        <f>O74-O7</f>
        <v/>
      </c>
      <c r="P79" s="18">
        <f>P74-P7</f>
        <v/>
      </c>
      <c r="Q79" s="18">
        <f>Q74-Q7</f>
        <v/>
      </c>
      <c r="R79" s="18">
        <f>R74-R7</f>
        <v/>
      </c>
      <c r="S79" s="18">
        <f>S74-S7</f>
        <v/>
      </c>
      <c r="T79" s="18">
        <f>T74-T7</f>
        <v/>
      </c>
      <c r="U79" s="18">
        <f>U74-U7</f>
        <v/>
      </c>
      <c r="V79" s="18">
        <f>V74-V7</f>
        <v/>
      </c>
      <c r="W79" s="18">
        <f>W74-W7</f>
        <v/>
      </c>
      <c r="X79" s="18">
        <f>X74-X7</f>
        <v/>
      </c>
      <c r="Y79" s="18">
        <f>Y74-Y7</f>
        <v/>
      </c>
      <c r="Z79" s="18">
        <f>Z74-Z7</f>
        <v/>
      </c>
      <c r="AA79" s="18">
        <f>AA74-AA7</f>
        <v/>
      </c>
      <c r="AB79" s="18">
        <f>AB74-AB7</f>
        <v/>
      </c>
      <c r="AC79" s="18">
        <f>AC74-AC7</f>
        <v/>
      </c>
      <c r="AD79" s="18">
        <f>AD74-AD7</f>
        <v/>
      </c>
      <c r="AE79" s="18">
        <f>AE74-AE7</f>
        <v/>
      </c>
      <c r="AF79" s="18">
        <f>AF74-AF7</f>
        <v/>
      </c>
      <c r="AG79" s="18">
        <f>AG74-AG7</f>
        <v/>
      </c>
      <c r="AH79" s="18">
        <f>AH74-AH7</f>
        <v/>
      </c>
      <c r="AI79" s="18">
        <f>AI74-AI7</f>
        <v/>
      </c>
      <c r="AJ79" s="18">
        <f>AJ74-AJ7</f>
        <v/>
      </c>
      <c r="AK79" s="18">
        <f>AK74-AK7</f>
        <v/>
      </c>
      <c r="AL79" s="18">
        <f>AL74-AL7</f>
        <v/>
      </c>
      <c r="AM79" s="18">
        <f>AM74-AM7</f>
        <v/>
      </c>
      <c r="AN79" s="18">
        <f>AN74-AN7</f>
        <v/>
      </c>
      <c r="AO79" s="18">
        <f>AO74-AO7</f>
        <v/>
      </c>
      <c r="AP79" s="18">
        <f>AP74-AP7</f>
        <v/>
      </c>
      <c r="AQ79" s="18">
        <f>AQ74-AQ7</f>
        <v/>
      </c>
      <c r="AR79" s="18">
        <f>AR74-AR7</f>
        <v/>
      </c>
      <c r="AS79" s="18">
        <f>AS74-AS7</f>
        <v/>
      </c>
      <c r="AT79" s="18">
        <f>AT74-AT7</f>
        <v/>
      </c>
      <c r="AU79" s="18">
        <f>AU74-AU7</f>
        <v/>
      </c>
      <c r="AV79" s="18">
        <f>AV74-AV7</f>
        <v/>
      </c>
      <c r="AW79" s="18">
        <f>AW74-AW7</f>
        <v/>
      </c>
    </row>
    <row r="80">
      <c r="A80" s="3" t="inlineStr">
        <is>
          <t>Runway (months, net burn)</t>
        </is>
      </c>
      <c r="B80" s="23">
        <f>IF(B79&lt;=0,999,B78/B79)</f>
        <v/>
      </c>
      <c r="C80" s="23">
        <f>IF(C79&lt;=0,999,C78/C79)</f>
        <v/>
      </c>
      <c r="D80" s="23">
        <f>IF(D79&lt;=0,999,D78/D79)</f>
        <v/>
      </c>
      <c r="E80" s="23">
        <f>IF(E79&lt;=0,999,E78/E79)</f>
        <v/>
      </c>
      <c r="F80" s="23">
        <f>IF(F79&lt;=0,999,F78/F79)</f>
        <v/>
      </c>
      <c r="G80" s="23">
        <f>IF(G79&lt;=0,999,G78/G79)</f>
        <v/>
      </c>
      <c r="H80" s="23">
        <f>IF(H79&lt;=0,999,H78/H79)</f>
        <v/>
      </c>
      <c r="I80" s="23">
        <f>IF(I79&lt;=0,999,I78/I79)</f>
        <v/>
      </c>
      <c r="J80" s="23">
        <f>IF(J79&lt;=0,999,J78/J79)</f>
        <v/>
      </c>
      <c r="K80" s="23">
        <f>IF(K79&lt;=0,999,K78/K79)</f>
        <v/>
      </c>
      <c r="L80" s="23">
        <f>IF(L79&lt;=0,999,L78/L79)</f>
        <v/>
      </c>
      <c r="M80" s="23">
        <f>IF(M79&lt;=0,999,M78/M79)</f>
        <v/>
      </c>
      <c r="N80" s="23">
        <f>IF(N79&lt;=0,999,N78/N79)</f>
        <v/>
      </c>
      <c r="O80" s="23">
        <f>IF(O79&lt;=0,999,O78/O79)</f>
        <v/>
      </c>
      <c r="P80" s="23">
        <f>IF(P79&lt;=0,999,P78/P79)</f>
        <v/>
      </c>
      <c r="Q80" s="23">
        <f>IF(Q79&lt;=0,999,Q78/Q79)</f>
        <v/>
      </c>
      <c r="R80" s="23">
        <f>IF(R79&lt;=0,999,R78/R79)</f>
        <v/>
      </c>
      <c r="S80" s="23">
        <f>IF(S79&lt;=0,999,S78/S79)</f>
        <v/>
      </c>
      <c r="T80" s="23">
        <f>IF(T79&lt;=0,999,T78/T79)</f>
        <v/>
      </c>
      <c r="U80" s="23">
        <f>IF(U79&lt;=0,999,U78/U79)</f>
        <v/>
      </c>
      <c r="V80" s="23">
        <f>IF(V79&lt;=0,999,V78/V79)</f>
        <v/>
      </c>
      <c r="W80" s="23">
        <f>IF(W79&lt;=0,999,W78/W79)</f>
        <v/>
      </c>
      <c r="X80" s="23">
        <f>IF(X79&lt;=0,999,X78/X79)</f>
        <v/>
      </c>
      <c r="Y80" s="23">
        <f>IF(Y79&lt;=0,999,Y78/Y79)</f>
        <v/>
      </c>
      <c r="Z80" s="23">
        <f>IF(Z79&lt;=0,999,Z78/Z79)</f>
        <v/>
      </c>
      <c r="AA80" s="23">
        <f>IF(AA79&lt;=0,999,AA78/AA79)</f>
        <v/>
      </c>
      <c r="AB80" s="23">
        <f>IF(AB79&lt;=0,999,AB78/AB79)</f>
        <v/>
      </c>
      <c r="AC80" s="23">
        <f>IF(AC79&lt;=0,999,AC78/AC79)</f>
        <v/>
      </c>
      <c r="AD80" s="23">
        <f>IF(AD79&lt;=0,999,AD78/AD79)</f>
        <v/>
      </c>
      <c r="AE80" s="23">
        <f>IF(AE79&lt;=0,999,AE78/AE79)</f>
        <v/>
      </c>
      <c r="AF80" s="23">
        <f>IF(AF79&lt;=0,999,AF78/AF79)</f>
        <v/>
      </c>
      <c r="AG80" s="23">
        <f>IF(AG79&lt;=0,999,AG78/AG79)</f>
        <v/>
      </c>
      <c r="AH80" s="23">
        <f>IF(AH79&lt;=0,999,AH78/AH79)</f>
        <v/>
      </c>
      <c r="AI80" s="23">
        <f>IF(AI79&lt;=0,999,AI78/AI79)</f>
        <v/>
      </c>
      <c r="AJ80" s="23">
        <f>IF(AJ79&lt;=0,999,AJ78/AJ79)</f>
        <v/>
      </c>
      <c r="AK80" s="23">
        <f>IF(AK79&lt;=0,999,AK78/AK79)</f>
        <v/>
      </c>
      <c r="AL80" s="23">
        <f>IF(AL79&lt;=0,999,AL78/AL79)</f>
        <v/>
      </c>
      <c r="AM80" s="23">
        <f>IF(AM79&lt;=0,999,AM78/AM79)</f>
        <v/>
      </c>
      <c r="AN80" s="23">
        <f>IF(AN79&lt;=0,999,AN78/AN79)</f>
        <v/>
      </c>
      <c r="AO80" s="23">
        <f>IF(AO79&lt;=0,999,AO78/AO79)</f>
        <v/>
      </c>
      <c r="AP80" s="23">
        <f>IF(AP79&lt;=0,999,AP78/AP79)</f>
        <v/>
      </c>
      <c r="AQ80" s="23">
        <f>IF(AQ79&lt;=0,999,AQ78/AQ79)</f>
        <v/>
      </c>
      <c r="AR80" s="23">
        <f>IF(AR79&lt;=0,999,AR78/AR79)</f>
        <v/>
      </c>
      <c r="AS80" s="23">
        <f>IF(AS79&lt;=0,999,AS78/AS79)</f>
        <v/>
      </c>
      <c r="AT80" s="23">
        <f>IF(AT79&lt;=0,999,AT78/AT79)</f>
        <v/>
      </c>
      <c r="AU80" s="23">
        <f>IF(AU79&lt;=0,999,AU78/AU79)</f>
        <v/>
      </c>
      <c r="AV80" s="23">
        <f>IF(AV79&lt;=0,999,AV78/AV79)</f>
        <v/>
      </c>
      <c r="AW80" s="23">
        <f>IF(AW79&lt;=0,999,AW78/AW79)</f>
        <v/>
      </c>
    </row>
    <row r="81">
      <c r="A81" s="5" t="inlineStr">
        <is>
          <t>6-month runway clause met?</t>
        </is>
      </c>
      <c r="B81" s="3" t="inlineStr">
        <is>
          <t>YES</t>
        </is>
      </c>
      <c r="C81" s="3">
        <f>IF(B79&lt;=0,"YES",IF(B78&gt;=B79*6,"YES","NO"))</f>
        <v/>
      </c>
      <c r="D81" s="3">
        <f>IF(C79&lt;=0,"YES",IF(C78&gt;=C79*6,"YES","NO"))</f>
        <v/>
      </c>
      <c r="E81" s="3">
        <f>IF(D79&lt;=0,"YES",IF(D78&gt;=D79*6,"YES","NO"))</f>
        <v/>
      </c>
      <c r="F81" s="3">
        <f>IF(E79&lt;=0,"YES",IF(E78&gt;=E79*6,"YES","NO"))</f>
        <v/>
      </c>
      <c r="G81" s="3">
        <f>IF(F79&lt;=0,"YES",IF(F78&gt;=F79*6,"YES","NO"))</f>
        <v/>
      </c>
      <c r="H81" s="3">
        <f>IF(G79&lt;=0,"YES",IF(G78&gt;=G79*6,"YES","NO"))</f>
        <v/>
      </c>
      <c r="I81" s="3">
        <f>IF(H79&lt;=0,"YES",IF(H78&gt;=H79*6,"YES","NO"))</f>
        <v/>
      </c>
      <c r="J81" s="3">
        <f>IF(I79&lt;=0,"YES",IF(I78&gt;=I79*6,"YES","NO"))</f>
        <v/>
      </c>
      <c r="K81" s="3">
        <f>IF(J79&lt;=0,"YES",IF(J78&gt;=J79*6,"YES","NO"))</f>
        <v/>
      </c>
      <c r="L81" s="3">
        <f>IF(K79&lt;=0,"YES",IF(K78&gt;=K79*6,"YES","NO"))</f>
        <v/>
      </c>
      <c r="M81" s="3">
        <f>IF(L79&lt;=0,"YES",IF(L78&gt;=L79*6,"YES","NO"))</f>
        <v/>
      </c>
      <c r="N81" s="3">
        <f>IF(M79&lt;=0,"YES",IF(M78&gt;=M79*6,"YES","NO"))</f>
        <v/>
      </c>
      <c r="O81" s="3">
        <f>IF(N79&lt;=0,"YES",IF(N78&gt;=N79*6,"YES","NO"))</f>
        <v/>
      </c>
      <c r="P81" s="3">
        <f>IF(O79&lt;=0,"YES",IF(O78&gt;=O79*6,"YES","NO"))</f>
        <v/>
      </c>
      <c r="Q81" s="3">
        <f>IF(P79&lt;=0,"YES",IF(P78&gt;=P79*6,"YES","NO"))</f>
        <v/>
      </c>
      <c r="R81" s="3">
        <f>IF(Q79&lt;=0,"YES",IF(Q78&gt;=Q79*6,"YES","NO"))</f>
        <v/>
      </c>
      <c r="S81" s="3">
        <f>IF(R79&lt;=0,"YES",IF(R78&gt;=R79*6,"YES","NO"))</f>
        <v/>
      </c>
      <c r="T81" s="3">
        <f>IF(S79&lt;=0,"YES",IF(S78&gt;=S79*6,"YES","NO"))</f>
        <v/>
      </c>
      <c r="U81" s="3">
        <f>IF(T79&lt;=0,"YES",IF(T78&gt;=T79*6,"YES","NO"))</f>
        <v/>
      </c>
      <c r="V81" s="3">
        <f>IF(U79&lt;=0,"YES",IF(U78&gt;=U79*6,"YES","NO"))</f>
        <v/>
      </c>
      <c r="W81" s="3">
        <f>IF(V79&lt;=0,"YES",IF(V78&gt;=V79*6,"YES","NO"))</f>
        <v/>
      </c>
      <c r="X81" s="3">
        <f>IF(W79&lt;=0,"YES",IF(W78&gt;=W79*6,"YES","NO"))</f>
        <v/>
      </c>
      <c r="Y81" s="3">
        <f>IF(X79&lt;=0,"YES",IF(X78&gt;=X79*6,"YES","NO"))</f>
        <v/>
      </c>
      <c r="Z81" s="3">
        <f>IF(Y79&lt;=0,"YES",IF(Y78&gt;=Y79*6,"YES","NO"))</f>
        <v/>
      </c>
      <c r="AA81" s="3">
        <f>IF(Z79&lt;=0,"YES",IF(Z78&gt;=Z79*6,"YES","NO"))</f>
        <v/>
      </c>
      <c r="AB81" s="3">
        <f>IF(AA79&lt;=0,"YES",IF(AA78&gt;=AA79*6,"YES","NO"))</f>
        <v/>
      </c>
      <c r="AC81" s="3">
        <f>IF(AB79&lt;=0,"YES",IF(AB78&gt;=AB79*6,"YES","NO"))</f>
        <v/>
      </c>
      <c r="AD81" s="3">
        <f>IF(AC79&lt;=0,"YES",IF(AC78&gt;=AC79*6,"YES","NO"))</f>
        <v/>
      </c>
      <c r="AE81" s="3">
        <f>IF(AD79&lt;=0,"YES",IF(AD78&gt;=AD79*6,"YES","NO"))</f>
        <v/>
      </c>
      <c r="AF81" s="3">
        <f>IF(AE79&lt;=0,"YES",IF(AE78&gt;=AE79*6,"YES","NO"))</f>
        <v/>
      </c>
      <c r="AG81" s="3">
        <f>IF(AF79&lt;=0,"YES",IF(AF78&gt;=AF79*6,"YES","NO"))</f>
        <v/>
      </c>
      <c r="AH81" s="3">
        <f>IF(AG79&lt;=0,"YES",IF(AG78&gt;=AG79*6,"YES","NO"))</f>
        <v/>
      </c>
      <c r="AI81" s="3">
        <f>IF(AH79&lt;=0,"YES",IF(AH78&gt;=AH79*6,"YES","NO"))</f>
        <v/>
      </c>
      <c r="AJ81" s="3">
        <f>IF(AI79&lt;=0,"YES",IF(AI78&gt;=AI79*6,"YES","NO"))</f>
        <v/>
      </c>
      <c r="AK81" s="3">
        <f>IF(AJ79&lt;=0,"YES",IF(AJ78&gt;=AJ79*6,"YES","NO"))</f>
        <v/>
      </c>
      <c r="AL81" s="3">
        <f>IF(AK79&lt;=0,"YES",IF(AK78&gt;=AK79*6,"YES","NO"))</f>
        <v/>
      </c>
      <c r="AM81" s="3">
        <f>IF(AL79&lt;=0,"YES",IF(AL78&gt;=AL79*6,"YES","NO"))</f>
        <v/>
      </c>
      <c r="AN81" s="3">
        <f>IF(AM79&lt;=0,"YES",IF(AM78&gt;=AM79*6,"YES","NO"))</f>
        <v/>
      </c>
      <c r="AO81" s="3">
        <f>IF(AN79&lt;=0,"YES",IF(AN78&gt;=AN79*6,"YES","NO"))</f>
        <v/>
      </c>
      <c r="AP81" s="3">
        <f>IF(AO79&lt;=0,"YES",IF(AO78&gt;=AO79*6,"YES","NO"))</f>
        <v/>
      </c>
      <c r="AQ81" s="3">
        <f>IF(AP79&lt;=0,"YES",IF(AP78&gt;=AP79*6,"YES","NO"))</f>
        <v/>
      </c>
      <c r="AR81" s="3">
        <f>IF(AQ79&lt;=0,"YES",IF(AQ78&gt;=AQ79*6,"YES","NO"))</f>
        <v/>
      </c>
      <c r="AS81" s="3">
        <f>IF(AR79&lt;=0,"YES",IF(AR78&gt;=AR79*6,"YES","NO"))</f>
        <v/>
      </c>
      <c r="AT81" s="3">
        <f>IF(AS79&lt;=0,"YES",IF(AS78&gt;=AS79*6,"YES","NO"))</f>
        <v/>
      </c>
      <c r="AU81" s="3">
        <f>IF(AT79&lt;=0,"YES",IF(AT78&gt;=AT79*6,"YES","NO"))</f>
        <v/>
      </c>
      <c r="AV81" s="3">
        <f>IF(AU79&lt;=0,"YES",IF(AU78&gt;=AU79*6,"YES","NO"))</f>
        <v/>
      </c>
      <c r="AW81" s="3">
        <f>IF(AV79&lt;=0,"YES",IF(AV78&gt;=AV79*6,"YES","NO"))</f>
        <v/>
      </c>
    </row>
    <row r="82">
      <c r="A82" s="5" t="inlineStr">
        <is>
          <t>(runway &gt;= 6 OR profitable = always met)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17F59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18" customWidth="1" min="5" max="5"/>
    <col width="20" customWidth="1" min="6" max="6"/>
    <col width="16" customWidth="1" min="7" max="7"/>
  </cols>
  <sheetData>
    <row r="1">
      <c r="A1" s="1" t="inlineStr">
        <is>
          <t>ZUG/BAAR vs ZURICH — FULL COMPARISON</t>
        </is>
      </c>
    </row>
    <row r="3">
      <c r="A3" s="2" t="inlineStr">
        <is>
          <t>CORPORATE PROFIT TAX</t>
        </is>
      </c>
    </row>
    <row r="4">
      <c r="A4" s="7" t="inlineStr"/>
      <c r="B4" s="7" t="inlineStr">
        <is>
          <t>Baar/Zug</t>
        </is>
      </c>
      <c r="C4" s="7" t="inlineStr">
        <is>
          <t>Zurich City</t>
        </is>
      </c>
      <c r="D4" s="7" t="inlineStr">
        <is>
          <t>Annual Savings</t>
        </is>
      </c>
    </row>
    <row r="5">
      <c r="A5" s="3" t="inlineStr">
        <is>
          <t>Effective rate</t>
        </is>
      </c>
      <c r="B5" s="8" t="inlineStr">
        <is>
          <t>11.82%</t>
        </is>
      </c>
      <c r="C5" s="8" t="inlineStr">
        <is>
          <t>19.59%</t>
        </is>
      </c>
      <c r="D5" s="9" t="inlineStr">
        <is>
          <t>-7.77pp</t>
        </is>
      </c>
    </row>
    <row r="6">
      <c r="A6" s="3" t="inlineStr">
        <is>
          <t>Tax on CHF 100,000 profit</t>
        </is>
      </c>
      <c r="B6" s="18" t="n">
        <v>11820</v>
      </c>
      <c r="C6" s="18" t="n">
        <v>19590</v>
      </c>
      <c r="D6" s="20" t="n">
        <v>7770</v>
      </c>
    </row>
    <row r="7">
      <c r="A7" s="3" t="inlineStr">
        <is>
          <t>Tax on CHF 500,000 profit</t>
        </is>
      </c>
      <c r="B7" s="18" t="n">
        <v>59100</v>
      </c>
      <c r="C7" s="18" t="n">
        <v>97950</v>
      </c>
      <c r="D7" s="20" t="n">
        <v>38850</v>
      </c>
    </row>
    <row r="8">
      <c r="A8" s="3" t="inlineStr">
        <is>
          <t>Tax on CHF 1,000,000 profit</t>
        </is>
      </c>
      <c r="B8" s="18" t="n">
        <v>118200</v>
      </c>
      <c r="C8" s="18" t="n">
        <v>195900</v>
      </c>
      <c r="D8" s="20" t="n">
        <v>77700</v>
      </c>
    </row>
    <row r="10">
      <c r="A10" s="2" t="inlineStr">
        <is>
          <t>AFTER-TAX PROFIT BY YEAR</t>
        </is>
      </c>
    </row>
    <row r="11">
      <c r="A11" s="7" t="inlineStr">
        <is>
          <t>Year</t>
        </is>
      </c>
      <c r="B11" s="7" t="inlineStr">
        <is>
          <t>EBITDA</t>
        </is>
      </c>
      <c r="C11" s="7" t="inlineStr">
        <is>
          <t>Tax (Zug)</t>
        </is>
      </c>
      <c r="D11" s="7" t="inlineStr">
        <is>
          <t>After-tax (Zug)</t>
        </is>
      </c>
      <c r="E11" s="7" t="inlineStr">
        <is>
          <t>Tax (Zurich)</t>
        </is>
      </c>
      <c r="F11" s="7" t="inlineStr">
        <is>
          <t>After-tax (ZH)</t>
        </is>
      </c>
      <c r="G11" s="7" t="inlineStr">
        <is>
          <t>Zug saves</t>
        </is>
      </c>
    </row>
    <row r="12">
      <c r="A12" s="3" t="inlineStr">
        <is>
          <t>Y1</t>
        </is>
      </c>
      <c r="B12" s="18" t="n">
        <v>-133825</v>
      </c>
      <c r="C12" s="18" t="n">
        <v>0</v>
      </c>
      <c r="D12" s="18" t="n">
        <v>-133825</v>
      </c>
      <c r="E12" s="18" t="n">
        <v>0</v>
      </c>
      <c r="F12" s="18" t="n">
        <v>-133825</v>
      </c>
      <c r="G12" s="20" t="n">
        <v>0</v>
      </c>
    </row>
    <row r="13">
      <c r="A13" s="3" t="inlineStr">
        <is>
          <t>Y2</t>
        </is>
      </c>
      <c r="B13" s="18" t="n">
        <v>415163</v>
      </c>
      <c r="C13" s="18" t="n">
        <v>49072</v>
      </c>
      <c r="D13" s="18" t="n">
        <v>366091</v>
      </c>
      <c r="E13" s="18" t="n">
        <v>81330</v>
      </c>
      <c r="F13" s="18" t="n">
        <v>333833</v>
      </c>
      <c r="G13" s="20" t="n">
        <v>32258</v>
      </c>
    </row>
    <row r="14">
      <c r="A14" s="3" t="inlineStr">
        <is>
          <t>Y3</t>
        </is>
      </c>
      <c r="B14" s="18" t="n">
        <v>2097396</v>
      </c>
      <c r="C14" s="18" t="n">
        <v>247912</v>
      </c>
      <c r="D14" s="18" t="n">
        <v>1849484</v>
      </c>
      <c r="E14" s="18" t="n">
        <v>410880</v>
      </c>
      <c r="F14" s="18" t="n">
        <v>1686516</v>
      </c>
      <c r="G14" s="20" t="n">
        <v>162968</v>
      </c>
    </row>
    <row r="15">
      <c r="A15" s="3" t="inlineStr">
        <is>
          <t>Y4</t>
        </is>
      </c>
      <c r="B15" s="18" t="n">
        <v>4814350</v>
      </c>
      <c r="C15" s="18" t="n">
        <v>569056</v>
      </c>
      <c r="D15" s="18" t="n">
        <v>4245294</v>
      </c>
      <c r="E15" s="18" t="n">
        <v>943131</v>
      </c>
      <c r="F15" s="18" t="n">
        <v>3871219</v>
      </c>
      <c r="G15" s="20" t="n">
        <v>374075</v>
      </c>
    </row>
    <row r="16">
      <c r="A16" s="9" t="inlineStr">
        <is>
          <t>CUMULATIVE TAX SAVINGS (ZUG)</t>
        </is>
      </c>
      <c r="G16" s="19" t="n">
        <v>569301</v>
      </c>
    </row>
    <row r="18">
      <c r="A18" s="2" t="inlineStr">
        <is>
          <t>OTHER DIFFERENCES</t>
        </is>
      </c>
    </row>
    <row r="19">
      <c r="A19" s="3" t="inlineStr">
        <is>
          <t>Incorporation notary fee</t>
        </is>
      </c>
      <c r="B19" s="8" t="inlineStr">
        <is>
          <t>CHF 1,000</t>
        </is>
      </c>
      <c r="C19" s="8" t="inlineStr">
        <is>
          <t>CHF 1,500</t>
        </is>
      </c>
      <c r="D19" s="5" t="inlineStr">
        <is>
          <t>CHF 500 more</t>
        </is>
      </c>
    </row>
    <row r="20">
      <c r="A20" s="3" t="inlineStr">
        <is>
          <t>FAK employer rate</t>
        </is>
      </c>
      <c r="B20" s="8" t="inlineStr">
        <is>
          <t>1.35%</t>
        </is>
      </c>
      <c r="C20" s="8" t="inlineStr">
        <is>
          <t>0.98%</t>
        </is>
      </c>
      <c r="D20" s="5" t="inlineStr">
        <is>
          <t>~CHF 400/yr cheaper in ZH per employee</t>
        </is>
      </c>
    </row>
    <row r="21">
      <c r="A21" s="3" t="inlineStr">
        <is>
          <t>Capital tax rate</t>
        </is>
      </c>
      <c r="B21" s="8" t="inlineStr">
        <is>
          <t>0.07%</t>
        </is>
      </c>
      <c r="C21" s="8" t="inlineStr">
        <is>
          <t>0.17%</t>
        </is>
      </c>
      <c r="D21" s="5" t="inlineStr">
        <is>
          <t>CHF 200 more/yr at CHF 200K equity</t>
        </is>
      </c>
    </row>
    <row r="22">
      <c r="A22" s="3" t="inlineStr">
        <is>
          <t>Treuhand costs</t>
        </is>
      </c>
      <c r="B22" s="8" t="inlineStr">
        <is>
          <t>Similar</t>
        </is>
      </c>
      <c r="C22" s="8" t="inlineStr">
        <is>
          <t>Similar</t>
        </is>
      </c>
      <c r="D22" s="5" t="inlineStr">
        <is>
          <t>10-20% higher in ZH on average</t>
        </is>
      </c>
    </row>
    <row r="23">
      <c r="A23" s="3" t="inlineStr">
        <is>
          <t>Domiciliation</t>
        </is>
      </c>
      <c r="B23" s="8" t="inlineStr">
        <is>
          <t>CHF 29/mo basic</t>
        </is>
      </c>
      <c r="C23" s="8" t="inlineStr">
        <is>
          <t>CHF 50/mo basic</t>
        </is>
      </c>
      <c r="D23" s="5" t="inlineStr">
        <is>
          <t>Minimal difference</t>
        </is>
      </c>
    </row>
    <row r="24">
      <c r="A24" s="3" t="inlineStr">
        <is>
          <t>Insurance</t>
        </is>
      </c>
      <c r="B24" s="8" t="inlineStr">
        <is>
          <t>Same</t>
        </is>
      </c>
      <c r="C24" s="8" t="inlineStr">
        <is>
          <t>Same</t>
        </is>
      </c>
      <c r="D24" s="5" t="inlineStr">
        <is>
          <t>Not canton-dependent</t>
        </is>
      </c>
    </row>
    <row r="26">
      <c r="A26" s="9" t="inlineStr">
        <is>
          <t>VERDICT: Zug/Baar saves CHF 38K-78K/year in corporate tax alone.</t>
        </is>
      </c>
    </row>
    <row r="27">
      <c r="A27" s="5" t="inlineStr">
        <is>
          <t>Incorporation cost difference is negligible. Choose Zug.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4A2B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LUMINA — VALUATION &amp; EXIT</t>
        </is>
      </c>
    </row>
    <row r="3">
      <c r="A3" s="2" t="inlineStr">
        <is>
          <t>ARR MILESTONES</t>
        </is>
      </c>
    </row>
    <row r="4">
      <c r="A4" s="7" t="inlineStr"/>
      <c r="B4" s="7" t="inlineStr">
        <is>
          <t>ARR CHF</t>
        </is>
      </c>
      <c r="C4" s="7" t="inlineStr">
        <is>
          <t>ARR EUR</t>
        </is>
      </c>
      <c r="D4" s="7" t="inlineStr">
        <is>
          <t>Paying</t>
        </is>
      </c>
      <c r="E4" s="7" t="inlineStr">
        <is>
          <t>EBITDA/mo</t>
        </is>
      </c>
      <c r="F4" s="7" t="inlineStr">
        <is>
          <t>Cash</t>
        </is>
      </c>
    </row>
    <row r="5">
      <c r="A5" s="3" t="inlineStr">
        <is>
          <t>M12</t>
        </is>
      </c>
      <c r="B5" s="18" t="n">
        <v>498096</v>
      </c>
      <c r="C5" s="12" t="n">
        <v>540000</v>
      </c>
      <c r="D5" s="3" t="n">
        <v>45</v>
      </c>
      <c r="E5" s="18" t="n">
        <v>9376</v>
      </c>
      <c r="F5" s="18" t="n">
        <v>66175</v>
      </c>
    </row>
    <row r="6">
      <c r="A6" s="3" t="inlineStr">
        <is>
          <t>M24</t>
        </is>
      </c>
      <c r="B6" s="18" t="n">
        <v>2085372</v>
      </c>
      <c r="C6" s="12" t="n">
        <v>2260811</v>
      </c>
      <c r="D6" s="3" t="n">
        <v>132</v>
      </c>
      <c r="E6" s="18" t="n">
        <v>116390</v>
      </c>
      <c r="F6" s="18" t="n">
        <v>481338</v>
      </c>
    </row>
    <row r="7">
      <c r="A7" s="3" t="inlineStr">
        <is>
          <t>M36</t>
        </is>
      </c>
      <c r="B7" s="18" t="n">
        <v>3662676</v>
      </c>
      <c r="C7" s="12" t="n">
        <v>3970811</v>
      </c>
      <c r="D7" s="3" t="n">
        <v>232</v>
      </c>
      <c r="E7" s="18" t="n">
        <v>223735</v>
      </c>
      <c r="F7" s="18" t="n">
        <v>2578734</v>
      </c>
    </row>
    <row r="8">
      <c r="A8" s="3" t="inlineStr">
        <is>
          <t>M48</t>
        </is>
      </c>
      <c r="B8" s="18" t="n">
        <v>6822804</v>
      </c>
      <c r="C8" s="12" t="n">
        <v>7396795</v>
      </c>
      <c r="D8" s="3" t="n">
        <v>333</v>
      </c>
      <c r="E8" s="18" t="n">
        <v>472258</v>
      </c>
      <c r="F8" s="18" t="n">
        <v>7393084</v>
      </c>
    </row>
    <row r="10">
      <c r="A10" s="2" t="inlineStr">
        <is>
          <t>VALUATION MATRIX (CHF)</t>
        </is>
      </c>
    </row>
    <row r="11">
      <c r="B11" s="7" t="inlineStr">
        <is>
          <t>6x</t>
        </is>
      </c>
      <c r="C11" s="7" t="inlineStr">
        <is>
          <t>8x</t>
        </is>
      </c>
      <c r="D11" s="7" t="inlineStr">
        <is>
          <t>10x</t>
        </is>
      </c>
      <c r="E11" s="7" t="inlineStr">
        <is>
          <t>12x</t>
        </is>
      </c>
    </row>
    <row r="12">
      <c r="A12" s="3" t="inlineStr">
        <is>
          <t>M12</t>
        </is>
      </c>
      <c r="B12" s="18" t="n">
        <v>2988576</v>
      </c>
      <c r="C12" s="18" t="n">
        <v>3984768</v>
      </c>
      <c r="D12" s="18" t="n">
        <v>4980960</v>
      </c>
      <c r="E12" s="18" t="n">
        <v>5977152</v>
      </c>
    </row>
    <row r="13">
      <c r="A13" s="3" t="inlineStr">
        <is>
          <t>M24</t>
        </is>
      </c>
      <c r="B13" s="18" t="n">
        <v>12512232</v>
      </c>
      <c r="C13" s="18" t="n">
        <v>16682976</v>
      </c>
      <c r="D13" s="18" t="n">
        <v>20853720</v>
      </c>
      <c r="E13" s="18" t="n">
        <v>25024464</v>
      </c>
    </row>
    <row r="14">
      <c r="A14" s="3" t="inlineStr">
        <is>
          <t>M36</t>
        </is>
      </c>
      <c r="B14" s="18" t="n">
        <v>21976056</v>
      </c>
      <c r="C14" s="18" t="n">
        <v>29301408</v>
      </c>
      <c r="D14" s="18" t="n">
        <v>36626760</v>
      </c>
      <c r="E14" s="18" t="n">
        <v>43952112</v>
      </c>
    </row>
    <row r="15">
      <c r="A15" s="3" t="inlineStr">
        <is>
          <t>M48</t>
        </is>
      </c>
      <c r="B15" s="18" t="n">
        <v>40936824</v>
      </c>
      <c r="C15" s="18" t="n">
        <v>54582432</v>
      </c>
      <c r="D15" s="18" t="n">
        <v>68228040</v>
      </c>
      <c r="E15" s="18" t="n">
        <v>81873648</v>
      </c>
    </row>
    <row r="17">
      <c r="A17" s="2" t="inlineStr">
        <is>
          <t>MARCO'S EQUITY VALUE (10x exit)</t>
        </is>
      </c>
    </row>
    <row r="18">
      <c r="A18" s="3" t="inlineStr">
        <is>
          <t>M12: 20% kicker</t>
        </is>
      </c>
      <c r="B18" s="18" t="n">
        <v>996192</v>
      </c>
      <c r="C18" s="5" t="inlineStr">
        <is>
          <t>on CHF 4,980,960 valuation</t>
        </is>
      </c>
    </row>
    <row r="19">
      <c r="A19" s="3" t="inlineStr">
        <is>
          <t>M24: 20% kicker</t>
        </is>
      </c>
      <c r="B19" s="18" t="n">
        <v>4170744</v>
      </c>
      <c r="C19" s="5" t="inlineStr">
        <is>
          <t>on CHF 20,853,720 valuation</t>
        </is>
      </c>
    </row>
    <row r="20">
      <c r="A20" s="3" t="inlineStr">
        <is>
          <t>M36: 23% kicker</t>
        </is>
      </c>
      <c r="B20" s="18" t="n">
        <v>8424155</v>
      </c>
      <c r="C20" s="5" t="inlineStr">
        <is>
          <t>on CHF 36,626,760 valuation</t>
        </is>
      </c>
    </row>
    <row r="21">
      <c r="A21" s="3" t="inlineStr">
        <is>
          <t>M48: 25% kicker</t>
        </is>
      </c>
      <c r="B21" s="18" t="n">
        <v>17057010</v>
      </c>
      <c r="C21" s="5" t="inlineStr">
        <is>
          <t>on CHF 68,228,040 valuation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96E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LUMINA — SENSITIVITY &amp; RUNWAY</t>
        </is>
      </c>
    </row>
    <row r="3">
      <c r="A3" s="2" t="inlineStr">
        <is>
          <t>BREAKEVEN</t>
        </is>
      </c>
    </row>
    <row r="4">
      <c r="A4" s="3" t="inlineStr">
        <is>
          <t>First EBITDA-positive</t>
        </is>
      </c>
      <c r="B4" s="9" t="inlineStr">
        <is>
          <t>M12</t>
        </is>
      </c>
    </row>
    <row r="5">
      <c r="A5" s="3" t="inlineStr">
        <is>
          <t>Lowest cash</t>
        </is>
      </c>
      <c r="B5" s="18" t="n">
        <v>56799</v>
      </c>
      <c r="C5" s="5" t="inlineStr">
        <is>
          <t>M11</t>
        </is>
      </c>
    </row>
    <row r="6">
      <c r="A6" s="3" t="inlineStr">
        <is>
          <t>Max drawdown</t>
        </is>
      </c>
      <c r="B6" s="18" t="n">
        <v>143201</v>
      </c>
    </row>
    <row r="8">
      <c r="A8" s="2" t="inlineStr">
        <is>
          <t>CEO STEP-UP TIMELINE</t>
        </is>
      </c>
    </row>
    <row r="9">
      <c r="A9" s="3" t="inlineStr">
        <is>
          <t>M1: CHF 106,080/yr → CHF 9,737/mo</t>
        </is>
      </c>
    </row>
    <row r="10">
      <c r="A10" s="3" t="inlineStr">
        <is>
          <t>M12: CHF 150,000/yr → CHF 13,689/mo</t>
        </is>
      </c>
    </row>
    <row r="11">
      <c r="A11" s="3" t="inlineStr">
        <is>
          <t>M23: CHF 185,000/yr → CHF 16,817/mo</t>
        </is>
      </c>
    </row>
    <row r="12">
      <c r="A12" s="3" t="inlineStr">
        <is>
          <t>M29: CHF 220,000/yr → CHF 19,945/mo</t>
        </is>
      </c>
    </row>
    <row r="14">
      <c r="A14" s="2" t="inlineStr">
        <is>
          <t>VESTING STATUS</t>
        </is>
      </c>
    </row>
    <row r="15">
      <c r="A15" s="3" t="inlineStr">
        <is>
          <t>M12: +5% if 15+ paying</t>
        </is>
      </c>
      <c r="B15" s="24" t="inlineStr">
        <is>
          <t>MET</t>
        </is>
      </c>
      <c r="C15" s="5" t="inlineStr">
        <is>
          <t>Cumul 25%</t>
        </is>
      </c>
    </row>
    <row r="16">
      <c r="A16" s="3" t="inlineStr">
        <is>
          <t>M24: +7% if ARR≥€500K</t>
        </is>
      </c>
      <c r="B16" s="24" t="inlineStr">
        <is>
          <t>MET</t>
        </is>
      </c>
      <c r="C16" s="5" t="inlineStr">
        <is>
          <t>Cumul 32%</t>
        </is>
      </c>
    </row>
    <row r="17">
      <c r="A17" s="3" t="inlineStr">
        <is>
          <t>M36: +8% if ARR≥€1.5M</t>
        </is>
      </c>
      <c r="B17" s="24" t="inlineStr">
        <is>
          <t>MET</t>
        </is>
      </c>
      <c r="C17" s="5" t="inlineStr">
        <is>
          <t>Cumul 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2026-04-05T14:05:47Z</dcterms:created>
  <dcterms:modified xmlns:dcterms="http://purl.org/dc/terms/" xmlns:xsi="http://www.w3.org/2001/XMLSchema-instance" xsi:type="dcterms:W3CDTF">2026-04-05T14:05:47Z</dcterms:modified>
</cp:coreProperties>
</file>