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3-Stage P&amp;L" sheetId="2" state="visible" r:id="rId2"/>
    <sheet xmlns:r="http://schemas.openxmlformats.org/officeDocument/2006/relationships" name="Investment &amp; Capital" sheetId="3" state="visible" r:id="rId3"/>
    <sheet xmlns:r="http://schemas.openxmlformats.org/officeDocument/2006/relationships" name="Value Math" sheetId="4" state="visible" r:id="rId4"/>
    <sheet xmlns:r="http://schemas.openxmlformats.org/officeDocument/2006/relationships" name="TAM-SAM-SOM" sheetId="5" state="visible" r:id="rId5"/>
    <sheet xmlns:r="http://schemas.openxmlformats.org/officeDocument/2006/relationships" name="Sales Funnel &amp; Acquisition" sheetId="6" state="visible" r:id="rId6"/>
    <sheet xmlns:r="http://schemas.openxmlformats.org/officeDocument/2006/relationships" name="Scenario A — Base Case" sheetId="7" state="visible" r:id="rId7"/>
    <sheet xmlns:r="http://schemas.openxmlformats.org/officeDocument/2006/relationships" name="Scenario B — Upside" sheetId="8" state="visible" r:id="rId8"/>
    <sheet xmlns:r="http://schemas.openxmlformats.org/officeDocument/2006/relationships" name="Scenario C — VC-Accelerated" sheetId="9" state="visible" r:id="rId9"/>
    <sheet xmlns:r="http://schemas.openxmlformats.org/officeDocument/2006/relationships" name="Market Validation" sheetId="10" state="visible" r:id="rId10"/>
    <sheet xmlns:r="http://schemas.openxmlformats.org/officeDocument/2006/relationships" name="Sensitivity Analysis" sheetId="11" state="visible" r:id="rId11"/>
  </sheets>
  <definedNames/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;\(#,##0\);\-"/>
    <numFmt numFmtId="166" formatCode="\(#,##0\)"/>
    <numFmt numFmtId="167" formatCode="0.0"/>
    <numFmt numFmtId="168" formatCode="#,##0;\(#,##0\)"/>
    <numFmt numFmtId="169" formatCode="0.0\x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ist"/>
      <charset val="1"/>
      <family val="0"/>
      <b val="1"/>
      <color rgb="FF1F4E79"/>
      <sz val="13"/>
    </font>
    <font>
      <name val="Geist"/>
      <charset val="1"/>
      <family val="0"/>
      <sz val="10"/>
    </font>
    <font>
      <name val="Geist"/>
      <charset val="1"/>
      <family val="0"/>
      <i val="1"/>
      <color rgb="FF666666"/>
      <sz val="9"/>
    </font>
    <font>
      <name val="Geist"/>
      <charset val="1"/>
      <family val="0"/>
      <b val="1"/>
      <color rgb="FF1F4E79"/>
      <sz val="11"/>
    </font>
    <font>
      <name val="Geist"/>
      <charset val="1"/>
      <family val="0"/>
      <b val="1"/>
      <color rgb="FFFFFFFF"/>
      <sz val="9.5"/>
    </font>
    <font>
      <name val="Geist"/>
      <charset val="1"/>
      <family val="0"/>
      <color rgb="FF000000"/>
      <sz val="10"/>
    </font>
    <font>
      <name val="Geist"/>
      <charset val="1"/>
      <family val="0"/>
      <color rgb="FF0000FF"/>
      <sz val="10"/>
    </font>
    <font>
      <name val="Geist"/>
      <charset val="1"/>
      <family val="0"/>
      <color rgb="FF666666"/>
      <sz val="9"/>
    </font>
    <font>
      <name val="Geist"/>
      <charset val="1"/>
      <family val="0"/>
      <b val="1"/>
      <sz val="11"/>
    </font>
    <font>
      <name val="Geist"/>
      <charset val="1"/>
      <family val="0"/>
      <b val="1"/>
      <sz val="10"/>
    </font>
    <font>
      <name val="Geist"/>
      <charset val="1"/>
      <family val="0"/>
      <i val="1"/>
      <sz val="9"/>
    </font>
    <font>
      <name val="Geist"/>
      <charset val="1"/>
      <family val="0"/>
      <b val="1"/>
      <color rgb="FF1F4E79"/>
      <sz val="12"/>
    </font>
    <font>
      <name val="Geist"/>
      <charset val="1"/>
      <family val="0"/>
      <b val="1"/>
      <color rgb="FF1F4E79"/>
      <sz val="10"/>
    </font>
    <font>
      <name val="Geist"/>
      <charset val="1"/>
      <family val="0"/>
      <color rgb="FF666666"/>
      <sz val="10"/>
    </font>
    <font>
      <name val="Geist"/>
      <charset val="1"/>
      <family val="0"/>
      <b val="1"/>
      <color rgb="FF000000"/>
      <sz val="10"/>
    </font>
    <font>
      <name val="Geist"/>
      <charset val="1"/>
      <family val="0"/>
      <i val="1"/>
      <color rgb="FF666666"/>
      <sz val="10"/>
    </font>
    <font>
      <name val="Geist"/>
      <charset val="1"/>
      <family val="0"/>
      <b val="1"/>
      <color rgb="FFFFFFFF"/>
      <sz val="11"/>
    </font>
    <font>
      <name val="Geist"/>
      <charset val="1"/>
      <family val="0"/>
      <b val="1"/>
      <i val="1"/>
      <color rgb="FF666666"/>
      <sz val="9"/>
    </font>
    <font>
      <name val="Geist"/>
      <charset val="1"/>
      <family val="0"/>
      <color rgb="FF008000"/>
      <sz val="10"/>
    </font>
    <font>
      <name val="Geist"/>
      <charset val="1"/>
      <family val="0"/>
      <color rgb="FF0563C1"/>
      <sz val="9"/>
      <u val="single"/>
    </font>
    <font>
      <name val="Geist"/>
      <charset val="1"/>
      <family val="0"/>
      <color rgb="FF999999"/>
      <sz val="10"/>
    </font>
    <font>
      <name val="Geist"/>
      <charset val="1"/>
      <family val="0"/>
      <b val="1"/>
      <color rgb="FF1F4E79"/>
      <sz val="14"/>
    </font>
    <font>
      <name val="Geist"/>
      <charset val="1"/>
      <family val="0"/>
      <color rgb="FFC62828"/>
      <sz val="10"/>
    </font>
    <font>
      <name val="Geist"/>
      <charset val="1"/>
      <family val="0"/>
      <color rgb="FF2E7D32"/>
      <sz val="10"/>
    </font>
    <font>
      <name val="Geist"/>
      <charset val="1"/>
      <family val="0"/>
      <i val="1"/>
      <color rgb="FF999999"/>
      <sz val="9"/>
    </font>
  </fonts>
  <fills count="13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F5F8FC"/>
        <bgColor rgb="FFFFFFFF"/>
      </patternFill>
    </fill>
    <fill>
      <patternFill patternType="solid">
        <fgColor rgb="FFFFF9DB"/>
        <bgColor rgb="FFFFF8E1"/>
      </patternFill>
    </fill>
    <fill>
      <patternFill patternType="solid">
        <fgColor rgb="FFFFFFFF"/>
        <bgColor rgb="FFF5F8FC"/>
      </patternFill>
    </fill>
    <fill>
      <patternFill patternType="solid">
        <fgColor rgb="FFFFF8E1"/>
        <bgColor rgb="FFFFF9DB"/>
      </patternFill>
    </fill>
    <fill>
      <patternFill patternType="solid">
        <fgColor rgb="FFE8F5E9"/>
        <bgColor rgb="FFE2EFDA"/>
      </patternFill>
    </fill>
    <fill>
      <patternFill patternType="solid">
        <fgColor rgb="FFFFEBEE"/>
        <bgColor rgb="FFFCE4EC"/>
      </patternFill>
    </fill>
    <fill>
      <patternFill patternType="solid">
        <fgColor rgb="FFE2EFDA"/>
        <bgColor rgb="FFE8F5E9"/>
      </patternFill>
    </fill>
    <fill>
      <patternFill patternType="solid">
        <fgColor rgb="FFFCE4EC"/>
        <bgColor rgb="FFFFEBEE"/>
      </patternFill>
    </fill>
    <fill>
      <patternFill patternType="solid">
        <fgColor rgb="FFFFF3E0"/>
        <bgColor rgb="FFFFF8E1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/>
      <top/>
      <bottom style="hair">
        <color rgb="FFD6E4F0"/>
      </bottom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1F4E79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general" vertical="bottom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general" vertical="bottom"/>
    </xf>
    <xf numFmtId="0" fontId="9" fillId="4" borderId="3" applyAlignment="1" pivotButton="0" quotePrefix="0" xfId="0">
      <alignment horizontal="left" vertical="center"/>
    </xf>
    <xf numFmtId="2" fontId="10" fillId="5" borderId="3" applyAlignment="1" pivotButton="0" quotePrefix="0" xfId="0">
      <alignment horizontal="right" vertical="center"/>
    </xf>
    <xf numFmtId="0" fontId="11" fillId="0" borderId="3" applyAlignment="1" pivotButton="0" quotePrefix="0" xfId="0">
      <alignment horizontal="left" vertical="center" wrapText="1"/>
    </xf>
    <xf numFmtId="3" fontId="10" fillId="5" borderId="3" applyAlignment="1" pivotButton="0" quotePrefix="0" xfId="0">
      <alignment horizontal="right" vertical="center"/>
    </xf>
    <xf numFmtId="0" fontId="9" fillId="6" borderId="3" applyAlignment="1" pivotButton="0" quotePrefix="0" xfId="0">
      <alignment horizontal="left" vertical="center"/>
    </xf>
    <xf numFmtId="4" fontId="10" fillId="5" borderId="3" applyAlignment="1" pivotButton="0" quotePrefix="0" xfId="0">
      <alignment horizontal="right" vertical="center"/>
    </xf>
    <xf numFmtId="4" fontId="9" fillId="4" borderId="3" applyAlignment="1" pivotButton="0" quotePrefix="0" xfId="0">
      <alignment horizontal="right" vertical="center"/>
    </xf>
    <xf numFmtId="4" fontId="9" fillId="6" borderId="3" applyAlignment="1" pivotButton="0" quotePrefix="0" xfId="0">
      <alignment horizontal="right" vertical="center"/>
    </xf>
    <xf numFmtId="164" fontId="10" fillId="5" borderId="3" applyAlignment="1" pivotButton="0" quotePrefix="0" xfId="0">
      <alignment horizontal="right" vertical="center"/>
    </xf>
    <xf numFmtId="3" fontId="9" fillId="4" borderId="3" applyAlignment="1" pivotButton="0" quotePrefix="0" xfId="0">
      <alignment horizontal="right" vertical="center"/>
    </xf>
    <xf numFmtId="3" fontId="9" fillId="6" borderId="3" applyAlignment="1" pivotButton="0" quotePrefix="0" xfId="0">
      <alignment horizontal="right" vertical="center"/>
    </xf>
    <xf numFmtId="164" fontId="9" fillId="6" borderId="3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right" vertical="center"/>
    </xf>
    <xf numFmtId="0" fontId="9" fillId="4" borderId="3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9" fontId="1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3" fontId="1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center" vertical="bottom" wrapText="1"/>
    </xf>
    <xf numFmtId="0" fontId="9" fillId="4" borderId="4" applyAlignment="1" pivotButton="0" quotePrefix="0" xfId="0">
      <alignment horizontal="general" vertical="bottom"/>
    </xf>
    <xf numFmtId="0" fontId="10" fillId="4" borderId="4" applyAlignment="1" pivotButton="0" quotePrefix="0" xfId="0">
      <alignment horizontal="general" vertical="bottom"/>
    </xf>
    <xf numFmtId="0" fontId="6" fillId="4" borderId="4" applyAlignment="1" pivotButton="0" quotePrefix="0" xfId="0">
      <alignment horizontal="general" vertical="bottom"/>
    </xf>
    <xf numFmtId="0" fontId="9" fillId="0" borderId="4" applyAlignment="1" pivotButton="0" quotePrefix="0" xfId="0">
      <alignment horizontal="general" vertical="bottom"/>
    </xf>
    <xf numFmtId="0" fontId="10" fillId="0" borderId="4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18" fillId="4" borderId="4" applyAlignment="1" pivotButton="0" quotePrefix="0" xfId="0">
      <alignment horizontal="general" vertical="bottom"/>
    </xf>
    <xf numFmtId="0" fontId="18" fillId="0" borderId="4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center" vertical="center" wrapText="1"/>
    </xf>
    <xf numFmtId="164" fontId="9" fillId="4" borderId="3" applyAlignment="1" pivotButton="0" quotePrefix="0" xfId="0">
      <alignment horizontal="right" vertical="center"/>
    </xf>
    <xf numFmtId="0" fontId="9" fillId="7" borderId="3" applyAlignment="1" pivotButton="0" quotePrefix="0" xfId="0">
      <alignment horizontal="left" vertical="center"/>
    </xf>
    <xf numFmtId="3" fontId="9" fillId="7" borderId="3" applyAlignment="1" pivotButton="0" quotePrefix="0" xfId="0">
      <alignment horizontal="left" vertical="center"/>
    </xf>
    <xf numFmtId="164" fontId="9" fillId="7" borderId="3" applyAlignment="1" pivotButton="0" quotePrefix="0" xfId="0">
      <alignment horizontal="left" vertical="center"/>
    </xf>
    <xf numFmtId="0" fontId="9" fillId="8" borderId="3" applyAlignment="1" pivotButton="0" quotePrefix="0" xfId="0">
      <alignment horizontal="left" vertical="center"/>
    </xf>
    <xf numFmtId="3" fontId="9" fillId="8" borderId="3" applyAlignment="1" pivotButton="0" quotePrefix="0" xfId="0">
      <alignment horizontal="left" vertical="center"/>
    </xf>
    <xf numFmtId="164" fontId="9" fillId="8" borderId="3" applyAlignment="1" pivotButton="0" quotePrefix="0" xfId="0">
      <alignment horizontal="left" vertical="center"/>
    </xf>
    <xf numFmtId="165" fontId="9" fillId="8" borderId="3" applyAlignment="1" pivotButton="0" quotePrefix="0" xfId="0">
      <alignment horizontal="left" vertical="center"/>
    </xf>
    <xf numFmtId="0" fontId="9" fillId="6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5" fillId="6" borderId="3" applyAlignment="1" pivotButton="0" quotePrefix="0" xfId="0">
      <alignment horizontal="left" vertical="center"/>
    </xf>
    <xf numFmtId="0" fontId="14" fillId="0" borderId="3" applyAlignment="1" pivotButton="0" quotePrefix="0" xfId="0">
      <alignment horizontal="left" vertical="center" wrapText="1"/>
    </xf>
    <xf numFmtId="3" fontId="22" fillId="4" borderId="3" applyAlignment="1" pivotButton="0" quotePrefix="0" xfId="0">
      <alignment horizontal="left" vertical="center"/>
    </xf>
    <xf numFmtId="3" fontId="22" fillId="6" borderId="3" applyAlignment="1" pivotButton="0" quotePrefix="0" xfId="0">
      <alignment horizontal="left" vertical="center"/>
    </xf>
    <xf numFmtId="166" fontId="10" fillId="5" borderId="3" applyAlignment="1" pivotButton="0" quotePrefix="0" xfId="0">
      <alignment horizontal="right" vertical="center"/>
    </xf>
    <xf numFmtId="167" fontId="9" fillId="6" borderId="3" applyAlignment="1" pivotButton="0" quotePrefix="0" xfId="0">
      <alignment horizontal="right" vertical="center"/>
    </xf>
    <xf numFmtId="0" fontId="18" fillId="6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167" fontId="9" fillId="4" borderId="3" applyAlignment="1" pivotButton="0" quotePrefix="0" xfId="0">
      <alignment horizontal="right" vertical="center"/>
    </xf>
    <xf numFmtId="168" fontId="10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10" fillId="5" borderId="3" applyAlignment="1" pivotButton="0" quotePrefix="0" xfId="0">
      <alignment horizontal="left" vertical="center"/>
    </xf>
    <xf numFmtId="169" fontId="9" fillId="6" borderId="3" applyAlignment="1" pivotButton="0" quotePrefix="0" xfId="0">
      <alignment horizontal="right" vertical="center"/>
    </xf>
    <xf numFmtId="0" fontId="23" fillId="0" borderId="3" applyAlignment="1" pivotButton="0" quotePrefix="0" xfId="0">
      <alignment horizontal="left" vertical="center" wrapText="1"/>
    </xf>
    <xf numFmtId="164" fontId="11" fillId="0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right" vertical="center"/>
    </xf>
    <xf numFmtId="0" fontId="9" fillId="9" borderId="3" applyAlignment="1" pivotButton="0" quotePrefix="0" xfId="0">
      <alignment horizontal="left" vertical="center"/>
    </xf>
    <xf numFmtId="0" fontId="18" fillId="6" borderId="2" applyAlignment="1" pivotButton="0" quotePrefix="0" xfId="0">
      <alignment horizontal="right" vertical="center"/>
    </xf>
    <xf numFmtId="3" fontId="18" fillId="6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center" vertical="bottom" wrapText="1"/>
    </xf>
    <xf numFmtId="0" fontId="9" fillId="4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3" fontId="9" fillId="4" borderId="0" applyAlignment="1" pivotButton="0" quotePrefix="0" xfId="0">
      <alignment horizontal="general" vertical="bottom"/>
    </xf>
    <xf numFmtId="0" fontId="18" fillId="4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/>
    </xf>
    <xf numFmtId="9" fontId="9" fillId="4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center" vertical="bottom"/>
    </xf>
    <xf numFmtId="3" fontId="18" fillId="0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3" fontId="24" fillId="0" borderId="0" applyAlignment="1" pivotButton="0" quotePrefix="0" xfId="0">
      <alignment horizontal="general" vertical="bottom"/>
    </xf>
    <xf numFmtId="3" fontId="24" fillId="4" borderId="0" applyAlignment="1" pivotButton="0" quotePrefix="0" xfId="0">
      <alignment horizontal="general" vertical="bottom"/>
    </xf>
    <xf numFmtId="0" fontId="9" fillId="10" borderId="0" applyAlignment="1" pivotButton="0" quotePrefix="0" xfId="0">
      <alignment horizontal="general" vertical="bottom"/>
    </xf>
    <xf numFmtId="3" fontId="9" fillId="10" borderId="0" applyAlignment="1" pivotButton="0" quotePrefix="0" xfId="0">
      <alignment horizontal="general" vertical="bottom"/>
    </xf>
    <xf numFmtId="3" fontId="22" fillId="10" borderId="0" applyAlignment="1" pivotButton="0" quotePrefix="0" xfId="0">
      <alignment horizontal="general" vertical="bottom"/>
    </xf>
    <xf numFmtId="9" fontId="18" fillId="0" borderId="0" applyAlignment="1" pivotButton="0" quotePrefix="0" xfId="0">
      <alignment horizontal="general" vertical="bottom"/>
    </xf>
    <xf numFmtId="0" fontId="9" fillId="11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center" vertical="center" wrapText="1"/>
    </xf>
    <xf numFmtId="3" fontId="9" fillId="4" borderId="4" applyAlignment="1" pivotButton="0" quotePrefix="0" xfId="0">
      <alignment horizontal="general" vertical="bottom"/>
    </xf>
    <xf numFmtId="165" fontId="26" fillId="4" borderId="4" applyAlignment="1" pivotButton="0" quotePrefix="0" xfId="0">
      <alignment horizontal="general" vertical="bottom"/>
    </xf>
    <xf numFmtId="164" fontId="26" fillId="4" borderId="4" applyAlignment="1" pivotButton="0" quotePrefix="0" xfId="0">
      <alignment horizontal="general" vertical="bottom"/>
    </xf>
    <xf numFmtId="3" fontId="9" fillId="0" borderId="4" applyAlignment="1" pivotButton="0" quotePrefix="0" xfId="0">
      <alignment horizontal="general" vertical="bottom"/>
    </xf>
    <xf numFmtId="165" fontId="27" fillId="0" borderId="4" applyAlignment="1" pivotButton="0" quotePrefix="0" xfId="0">
      <alignment horizontal="general" vertical="bottom"/>
    </xf>
    <xf numFmtId="164" fontId="27" fillId="0" borderId="4" applyAlignment="1" pivotButton="0" quotePrefix="0" xfId="0">
      <alignment horizontal="general" vertical="bottom"/>
    </xf>
    <xf numFmtId="165" fontId="27" fillId="4" borderId="4" applyAlignment="1" pivotButton="0" quotePrefix="0" xfId="0">
      <alignment horizontal="general" vertical="bottom"/>
    </xf>
    <xf numFmtId="164" fontId="27" fillId="4" borderId="4" applyAlignment="1" pivotButton="0" quotePrefix="0" xfId="0">
      <alignment horizontal="general" vertical="bottom"/>
    </xf>
    <xf numFmtId="165" fontId="26" fillId="0" borderId="4" applyAlignment="1" pivotButton="0" quotePrefix="0" xfId="0">
      <alignment horizontal="general" vertical="bottom"/>
    </xf>
    <xf numFmtId="164" fontId="26" fillId="0" borderId="4" applyAlignment="1" pivotButton="0" quotePrefix="0" xfId="0">
      <alignment horizontal="general" vertical="bottom"/>
    </xf>
    <xf numFmtId="0" fontId="9" fillId="4" borderId="4" applyAlignment="1" pivotButton="0" quotePrefix="0" xfId="0">
      <alignment horizontal="general" vertical="bottom" wrapText="1"/>
    </xf>
    <xf numFmtId="0" fontId="9" fillId="0" borderId="4" applyAlignment="1" pivotButton="0" quotePrefix="0" xfId="0">
      <alignment horizontal="general" vertical="bottom" wrapText="1"/>
    </xf>
    <xf numFmtId="0" fontId="28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general" vertical="bottom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general" vertical="bottom"/>
    </xf>
    <xf numFmtId="0" fontId="9" fillId="4" borderId="3" applyAlignment="1" pivotButton="0" quotePrefix="0" xfId="0">
      <alignment horizontal="left" vertical="center"/>
    </xf>
    <xf numFmtId="2" fontId="10" fillId="5" borderId="3" applyAlignment="1" pivotButton="0" quotePrefix="0" xfId="0">
      <alignment horizontal="right" vertical="center"/>
    </xf>
    <xf numFmtId="0" fontId="11" fillId="0" borderId="3" applyAlignment="1" pivotButton="0" quotePrefix="0" xfId="0">
      <alignment horizontal="left" vertical="center" wrapText="1"/>
    </xf>
    <xf numFmtId="3" fontId="10" fillId="5" borderId="3" applyAlignment="1" pivotButton="0" quotePrefix="0" xfId="0">
      <alignment horizontal="right" vertical="center"/>
    </xf>
    <xf numFmtId="0" fontId="9" fillId="6" borderId="3" applyAlignment="1" pivotButton="0" quotePrefix="0" xfId="0">
      <alignment horizontal="left" vertical="center"/>
    </xf>
    <xf numFmtId="4" fontId="10" fillId="5" borderId="3" applyAlignment="1" pivotButton="0" quotePrefix="0" xfId="0">
      <alignment horizontal="right" vertical="center"/>
    </xf>
    <xf numFmtId="4" fontId="9" fillId="4" borderId="3" applyAlignment="1" pivotButton="0" quotePrefix="0" xfId="0">
      <alignment horizontal="right" vertical="center"/>
    </xf>
    <xf numFmtId="4" fontId="9" fillId="6" borderId="3" applyAlignment="1" pivotButton="0" quotePrefix="0" xfId="0">
      <alignment horizontal="right" vertical="center"/>
    </xf>
    <xf numFmtId="164" fontId="10" fillId="5" borderId="3" applyAlignment="1" pivotButton="0" quotePrefix="0" xfId="0">
      <alignment horizontal="right" vertical="center"/>
    </xf>
    <xf numFmtId="3" fontId="9" fillId="4" borderId="3" applyAlignment="1" pivotButton="0" quotePrefix="0" xfId="0">
      <alignment horizontal="right" vertical="center"/>
    </xf>
    <xf numFmtId="3" fontId="9" fillId="6" borderId="3" applyAlignment="1" pivotButton="0" quotePrefix="0" xfId="0">
      <alignment horizontal="right" vertical="center"/>
    </xf>
    <xf numFmtId="164" fontId="9" fillId="6" borderId="3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right" vertical="center"/>
    </xf>
    <xf numFmtId="0" fontId="9" fillId="4" borderId="3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9" fontId="1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3" fontId="1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center" vertical="bottom" wrapText="1"/>
    </xf>
    <xf numFmtId="0" fontId="9" fillId="4" borderId="4" applyAlignment="1" pivotButton="0" quotePrefix="0" xfId="0">
      <alignment horizontal="general" vertical="bottom"/>
    </xf>
    <xf numFmtId="0" fontId="10" fillId="4" borderId="4" applyAlignment="1" pivotButton="0" quotePrefix="0" xfId="0">
      <alignment horizontal="general" vertical="bottom"/>
    </xf>
    <xf numFmtId="0" fontId="6" fillId="4" borderId="4" applyAlignment="1" pivotButton="0" quotePrefix="0" xfId="0">
      <alignment horizontal="general" vertical="bottom"/>
    </xf>
    <xf numFmtId="0" fontId="9" fillId="0" borderId="4" applyAlignment="1" pivotButton="0" quotePrefix="0" xfId="0">
      <alignment horizontal="general" vertical="bottom"/>
    </xf>
    <xf numFmtId="0" fontId="10" fillId="0" borderId="4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18" fillId="4" borderId="4" applyAlignment="1" pivotButton="0" quotePrefix="0" xfId="0">
      <alignment horizontal="general" vertical="bottom"/>
    </xf>
    <xf numFmtId="0" fontId="18" fillId="0" borderId="4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center" vertical="center" wrapText="1"/>
    </xf>
    <xf numFmtId="164" fontId="9" fillId="4" borderId="3" applyAlignment="1" pivotButton="0" quotePrefix="0" xfId="0">
      <alignment horizontal="right" vertical="center"/>
    </xf>
    <xf numFmtId="0" fontId="9" fillId="7" borderId="3" applyAlignment="1" pivotButton="0" quotePrefix="0" xfId="0">
      <alignment horizontal="left" vertical="center"/>
    </xf>
    <xf numFmtId="3" fontId="9" fillId="7" borderId="3" applyAlignment="1" pivotButton="0" quotePrefix="0" xfId="0">
      <alignment horizontal="left" vertical="center"/>
    </xf>
    <xf numFmtId="164" fontId="9" fillId="7" borderId="3" applyAlignment="1" pivotButton="0" quotePrefix="0" xfId="0">
      <alignment horizontal="left" vertical="center"/>
    </xf>
    <xf numFmtId="0" fontId="9" fillId="8" borderId="3" applyAlignment="1" pivotButton="0" quotePrefix="0" xfId="0">
      <alignment horizontal="left" vertical="center"/>
    </xf>
    <xf numFmtId="3" fontId="9" fillId="8" borderId="3" applyAlignment="1" pivotButton="0" quotePrefix="0" xfId="0">
      <alignment horizontal="left" vertical="center"/>
    </xf>
    <xf numFmtId="164" fontId="9" fillId="8" borderId="3" applyAlignment="1" pivotButton="0" quotePrefix="0" xfId="0">
      <alignment horizontal="left" vertical="center"/>
    </xf>
    <xf numFmtId="165" fontId="9" fillId="8" borderId="3" applyAlignment="1" pivotButton="0" quotePrefix="0" xfId="0">
      <alignment horizontal="left" vertical="center"/>
    </xf>
    <xf numFmtId="0" fontId="9" fillId="6" borderId="3" applyAlignment="1" pivotButton="0" quotePrefix="0" xfId="0">
      <alignment horizontal="right" vertical="center"/>
    </xf>
    <xf numFmtId="0" fontId="5" fillId="6" borderId="3" applyAlignment="1" pivotButton="0" quotePrefix="0" xfId="0">
      <alignment horizontal="left" vertical="center"/>
    </xf>
    <xf numFmtId="0" fontId="14" fillId="0" borderId="3" applyAlignment="1" pivotButton="0" quotePrefix="0" xfId="0">
      <alignment horizontal="left" vertical="center" wrapText="1"/>
    </xf>
    <xf numFmtId="3" fontId="22" fillId="4" borderId="3" applyAlignment="1" pivotButton="0" quotePrefix="0" xfId="0">
      <alignment horizontal="left" vertical="center"/>
    </xf>
    <xf numFmtId="3" fontId="22" fillId="6" borderId="3" applyAlignment="1" pivotButton="0" quotePrefix="0" xfId="0">
      <alignment horizontal="left" vertical="center"/>
    </xf>
    <xf numFmtId="166" fontId="10" fillId="5" borderId="3" applyAlignment="1" pivotButton="0" quotePrefix="0" xfId="0">
      <alignment horizontal="right" vertical="center"/>
    </xf>
    <xf numFmtId="167" fontId="9" fillId="6" borderId="3" applyAlignment="1" pivotButton="0" quotePrefix="0" xfId="0">
      <alignment horizontal="right" vertical="center"/>
    </xf>
    <xf numFmtId="0" fontId="18" fillId="6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3" applyAlignment="1" pivotButton="0" quotePrefix="0" xfId="0">
      <alignment horizontal="general" vertical="bottom"/>
    </xf>
    <xf numFmtId="167" fontId="9" fillId="4" borderId="3" applyAlignment="1" pivotButton="0" quotePrefix="0" xfId="0">
      <alignment horizontal="right" vertical="center"/>
    </xf>
    <xf numFmtId="0" fontId="0" fillId="0" borderId="2" pivotButton="0" quotePrefix="0" xfId="0"/>
    <xf numFmtId="168" fontId="10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10" fillId="5" borderId="3" applyAlignment="1" pivotButton="0" quotePrefix="0" xfId="0">
      <alignment horizontal="left" vertical="center"/>
    </xf>
    <xf numFmtId="169" fontId="9" fillId="6" borderId="3" applyAlignment="1" pivotButton="0" quotePrefix="0" xfId="0">
      <alignment horizontal="right" vertical="center"/>
    </xf>
    <xf numFmtId="0" fontId="23" fillId="0" borderId="3" applyAlignment="1" pivotButton="0" quotePrefix="0" xfId="0">
      <alignment horizontal="left" vertical="center" wrapText="1"/>
    </xf>
    <xf numFmtId="164" fontId="11" fillId="0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right" vertical="center"/>
    </xf>
    <xf numFmtId="0" fontId="9" fillId="9" borderId="3" applyAlignment="1" pivotButton="0" quotePrefix="0" xfId="0">
      <alignment horizontal="left" vertical="center"/>
    </xf>
    <xf numFmtId="0" fontId="18" fillId="6" borderId="2" applyAlignment="1" pivotButton="0" quotePrefix="0" xfId="0">
      <alignment horizontal="right" vertical="center"/>
    </xf>
    <xf numFmtId="3" fontId="18" fillId="6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center" vertical="bottom" wrapText="1"/>
    </xf>
    <xf numFmtId="0" fontId="9" fillId="4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3" fontId="9" fillId="4" borderId="0" applyAlignment="1" pivotButton="0" quotePrefix="0" xfId="0">
      <alignment horizontal="general" vertical="bottom"/>
    </xf>
    <xf numFmtId="0" fontId="18" fillId="4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/>
    </xf>
    <xf numFmtId="9" fontId="9" fillId="4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center" vertical="bottom"/>
    </xf>
    <xf numFmtId="3" fontId="18" fillId="0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3" fontId="24" fillId="0" borderId="0" applyAlignment="1" pivotButton="0" quotePrefix="0" xfId="0">
      <alignment horizontal="general" vertical="bottom"/>
    </xf>
    <xf numFmtId="3" fontId="24" fillId="4" borderId="0" applyAlignment="1" pivotButton="0" quotePrefix="0" xfId="0">
      <alignment horizontal="general" vertical="bottom"/>
    </xf>
    <xf numFmtId="0" fontId="9" fillId="10" borderId="0" applyAlignment="1" pivotButton="0" quotePrefix="0" xfId="0">
      <alignment horizontal="general" vertical="bottom"/>
    </xf>
    <xf numFmtId="3" fontId="9" fillId="10" borderId="0" applyAlignment="1" pivotButton="0" quotePrefix="0" xfId="0">
      <alignment horizontal="general" vertical="bottom"/>
    </xf>
    <xf numFmtId="3" fontId="22" fillId="10" borderId="0" applyAlignment="1" pivotButton="0" quotePrefix="0" xfId="0">
      <alignment horizontal="general" vertical="bottom"/>
    </xf>
    <xf numFmtId="9" fontId="18" fillId="0" borderId="0" applyAlignment="1" pivotButton="0" quotePrefix="0" xfId="0">
      <alignment horizontal="general" vertical="bottom"/>
    </xf>
    <xf numFmtId="0" fontId="9" fillId="11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center" vertical="center" wrapText="1"/>
    </xf>
    <xf numFmtId="3" fontId="9" fillId="4" borderId="4" applyAlignment="1" pivotButton="0" quotePrefix="0" xfId="0">
      <alignment horizontal="general" vertical="bottom"/>
    </xf>
    <xf numFmtId="165" fontId="26" fillId="4" borderId="4" applyAlignment="1" pivotButton="0" quotePrefix="0" xfId="0">
      <alignment horizontal="general" vertical="bottom"/>
    </xf>
    <xf numFmtId="164" fontId="26" fillId="4" borderId="4" applyAlignment="1" pivotButton="0" quotePrefix="0" xfId="0">
      <alignment horizontal="general" vertical="bottom"/>
    </xf>
    <xf numFmtId="3" fontId="9" fillId="0" borderId="4" applyAlignment="1" pivotButton="0" quotePrefix="0" xfId="0">
      <alignment horizontal="general" vertical="bottom"/>
    </xf>
    <xf numFmtId="165" fontId="27" fillId="0" borderId="4" applyAlignment="1" pivotButton="0" quotePrefix="0" xfId="0">
      <alignment horizontal="general" vertical="bottom"/>
    </xf>
    <xf numFmtId="164" fontId="27" fillId="0" borderId="4" applyAlignment="1" pivotButton="0" quotePrefix="0" xfId="0">
      <alignment horizontal="general" vertical="bottom"/>
    </xf>
    <xf numFmtId="165" fontId="27" fillId="4" borderId="4" applyAlignment="1" pivotButton="0" quotePrefix="0" xfId="0">
      <alignment horizontal="general" vertical="bottom"/>
    </xf>
    <xf numFmtId="164" fontId="27" fillId="4" borderId="4" applyAlignment="1" pivotButton="0" quotePrefix="0" xfId="0">
      <alignment horizontal="general" vertical="bottom"/>
    </xf>
    <xf numFmtId="165" fontId="26" fillId="0" borderId="4" applyAlignment="1" pivotButton="0" quotePrefix="0" xfId="0">
      <alignment horizontal="general" vertical="bottom"/>
    </xf>
    <xf numFmtId="164" fontId="26" fillId="0" borderId="4" applyAlignment="1" pivotButton="0" quotePrefix="0" xfId="0">
      <alignment horizontal="general" vertical="bottom"/>
    </xf>
    <xf numFmtId="0" fontId="9" fillId="4" borderId="4" applyAlignment="1" pivotButton="0" quotePrefix="0" xfId="0">
      <alignment horizontal="general" vertical="bottom" wrapText="1"/>
    </xf>
    <xf numFmtId="0" fontId="0" fillId="0" borderId="4" pivotButton="0" quotePrefix="0" xfId="0"/>
    <xf numFmtId="0" fontId="9" fillId="0" borderId="4" applyAlignment="1" pivotButton="0" quotePrefix="0" xfId="0">
      <alignment horizontal="general" vertical="bottom" wrapText="1"/>
    </xf>
    <xf numFmtId="0" fontId="28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EBEE"/>
      <rgbColor rgb="FF808080"/>
      <rgbColor rgb="FF9999FF"/>
      <rgbColor rgb="FF993366"/>
      <rgbColor rgb="FFFFF9DB"/>
      <rgbColor rgb="FFE8F5E9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8E1"/>
      <rgbColor rgb="FFF5F8FC"/>
      <rgbColor rgb="FFFFF3E0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7D32"/>
      <rgbColor rgb="FF003300"/>
      <rgbColor rgb="FF333300"/>
      <rgbColor rgb="FFC62828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124" min="1" max="1"/>
    <col width="16" customWidth="1" style="124" min="2" max="3"/>
    <col width="52" customWidth="1" style="124" min="4" max="4"/>
    <col width="32" customWidth="1" style="124" min="5" max="5"/>
  </cols>
  <sheetData>
    <row r="1" ht="27.75" customHeight="1" s="125">
      <c r="A1" s="126" t="inlineStr">
        <is>
          <t>TERCIER AG — Master Assumptions Register</t>
        </is>
      </c>
      <c r="B1" s="127" t="n"/>
      <c r="C1" s="127" t="n"/>
      <c r="D1" s="127" t="n"/>
      <c r="E1" s="127" t="n"/>
      <c r="F1" s="127" t="n"/>
      <c r="G1" s="127" t="n"/>
    </row>
    <row r="2" ht="18" customHeight="1" s="125">
      <c r="A2" s="128" t="inlineStr">
        <is>
          <t>All inputs in BLUE. All formulas in BLACK. All cross-sheet links in GREEN.</t>
        </is>
      </c>
      <c r="B2" s="127" t="n"/>
      <c r="C2" s="127" t="n"/>
      <c r="D2" s="127" t="n"/>
      <c r="E2" s="127" t="n"/>
      <c r="F2" s="127" t="n"/>
      <c r="G2" s="127" t="n"/>
    </row>
    <row r="3" ht="15" customHeight="1" s="125">
      <c r="A3" s="127" t="n"/>
      <c r="B3" s="127" t="n"/>
      <c r="C3" s="127" t="n"/>
      <c r="D3" s="127" t="n"/>
      <c r="E3" s="127" t="n"/>
      <c r="F3" s="127" t="n"/>
      <c r="G3" s="127" t="n"/>
    </row>
    <row r="4" ht="24" customHeight="1" s="125">
      <c r="A4" s="129" t="inlineStr">
        <is>
          <t>EXCHANGE RATE</t>
        </is>
      </c>
      <c r="B4" s="130" t="n"/>
      <c r="C4" s="130" t="n"/>
      <c r="D4" s="130" t="n"/>
      <c r="E4" s="130" t="n"/>
      <c r="F4" s="130" t="n"/>
      <c r="G4" s="130" t="n"/>
    </row>
    <row r="5" ht="21.75" customHeight="1" s="125">
      <c r="A5" s="131" t="inlineStr">
        <is>
          <t>Parameter</t>
        </is>
      </c>
      <c r="B5" s="132" t="inlineStr">
        <is>
          <t>Low</t>
        </is>
      </c>
      <c r="C5" s="132" t="inlineStr">
        <is>
          <t>High</t>
        </is>
      </c>
      <c r="D5" s="132" t="inlineStr">
        <is>
          <t>Notes / Source</t>
        </is>
      </c>
      <c r="E5" s="132" t="inlineStr">
        <is>
          <t>Validation</t>
        </is>
      </c>
      <c r="F5" s="133" t="n"/>
      <c r="G5" s="133" t="n"/>
    </row>
    <row r="6" ht="19.5" customHeight="1" s="125">
      <c r="A6" s="134" t="inlineStr">
        <is>
          <t>EUR/CHF rate (1 EUR = X CHF)</t>
        </is>
      </c>
      <c r="B6" s="135" t="n">
        <v>0.91</v>
      </c>
      <c r="C6" s="127" t="n"/>
      <c r="D6" s="136" t="inlineStr">
        <is>
          <t>March 23, 2026 market rate. 1 EUR = 0.91 CHF.</t>
        </is>
      </c>
      <c r="E6" s="136" t="inlineStr">
        <is>
          <t>Source: ECB/Reuters, March 2026</t>
        </is>
      </c>
      <c r="F6" s="127" t="n"/>
      <c r="G6" s="127" t="n"/>
    </row>
    <row r="7" ht="15" customHeight="1" s="125">
      <c r="A7" s="127" t="n"/>
      <c r="B7" s="127" t="n"/>
      <c r="C7" s="127" t="n"/>
      <c r="D7" s="127" t="n"/>
      <c r="E7" s="127" t="n"/>
      <c r="F7" s="127" t="n"/>
      <c r="G7" s="127" t="n"/>
    </row>
    <row r="8" ht="24" customHeight="1" s="125">
      <c r="A8" s="129" t="inlineStr">
        <is>
          <t>PRICING TIERS (EUR/month/property)</t>
        </is>
      </c>
      <c r="B8" s="130" t="n"/>
      <c r="C8" s="130" t="n"/>
      <c r="D8" s="130" t="n"/>
      <c r="E8" s="130" t="n"/>
      <c r="F8" s="130" t="n"/>
      <c r="G8" s="130" t="n"/>
    </row>
    <row r="9" ht="21.75" customHeight="1" s="125">
      <c r="A9" s="131" t="inlineStr">
        <is>
          <t>Tier</t>
        </is>
      </c>
      <c r="B9" s="132" t="inlineStr">
        <is>
          <t>Low</t>
        </is>
      </c>
      <c r="C9" s="132" t="inlineStr">
        <is>
          <t>High</t>
        </is>
      </c>
      <c r="D9" s="132" t="inlineStr">
        <is>
          <t>Notes / Source</t>
        </is>
      </c>
      <c r="E9" s="132" t="inlineStr">
        <is>
          <t>Validation</t>
        </is>
      </c>
      <c r="F9" s="133" t="n"/>
      <c r="G9" s="133" t="n"/>
    </row>
    <row r="10" ht="19.5" customHeight="1" s="125">
      <c r="A10" s="134" t="inlineStr">
        <is>
          <t>Proof-of-value (90 days)</t>
        </is>
      </c>
      <c r="B10" s="137" t="n">
        <v>1000</v>
      </c>
      <c r="C10" s="137" t="n">
        <v>1500</v>
      </c>
      <c r="D10" s="136" t="inlineStr">
        <is>
          <t>90-day entry. Converts to Intelligence or terminates.</t>
        </is>
      </c>
      <c r="E10" s="136" t="inlineStr">
        <is>
          <t>vs. agency EUR 3-8K/mo</t>
        </is>
      </c>
      <c r="F10" s="127" t="n"/>
      <c r="G10" s="127" t="n"/>
    </row>
    <row r="11" ht="19.5" customHeight="1" s="125">
      <c r="A11" s="138" t="inlineStr">
        <is>
          <t>Intelligence</t>
        </is>
      </c>
      <c r="B11" s="137" t="n">
        <v>1500</v>
      </c>
      <c r="C11" s="137" t="n">
        <v>2500</v>
      </c>
      <c r="D11" s="136" t="inlineStr">
        <is>
          <t>Full platform: market, review, comp-set, personas, AI discovery, briefs</t>
        </is>
      </c>
      <c r="E11" s="136" t="inlineStr">
        <is>
          <t>vs. TrustYou EUR 190-350/mo</t>
        </is>
      </c>
      <c r="F11" s="127" t="n"/>
      <c r="G11" s="127" t="n"/>
    </row>
    <row r="12" ht="19.5" customHeight="1" s="125">
      <c r="A12" s="134" t="inlineStr">
        <is>
          <t>Intelligence + Content</t>
        </is>
      </c>
      <c r="B12" s="137" t="n">
        <v>2500</v>
      </c>
      <c r="C12" s="137" t="n">
        <v>5000</v>
      </c>
      <c r="D12" s="136" t="inlineStr">
        <is>
          <t>All above + content engine, multilingual, campaigns</t>
        </is>
      </c>
      <c r="E12" s="136" t="inlineStr">
        <is>
          <t>Replaces agency + adds AI layer</t>
        </is>
      </c>
      <c r="F12" s="127" t="n"/>
      <c r="G12" s="127" t="n"/>
    </row>
    <row r="13" ht="19.5" customHeight="1" s="125">
      <c r="A13" s="138" t="inlineStr">
        <is>
          <t>Group rollout (5+ properties)</t>
        </is>
      </c>
      <c r="B13" s="137" t="n">
        <v>2000</v>
      </c>
      <c r="C13" s="137" t="n">
        <v>4000</v>
      </c>
      <c r="D13" s="136" t="inlineStr">
        <is>
          <t>Full platform + cross-property benchmarking</t>
        </is>
      </c>
      <c r="E13" s="136" t="inlineStr">
        <is>
          <t>Land-and-expand pricing</t>
        </is>
      </c>
      <c r="F13" s="127" t="n"/>
      <c r="G13" s="127" t="n"/>
    </row>
    <row r="14" ht="19.5" customHeight="1" s="125">
      <c r="A14" s="134" t="inlineStr">
        <is>
          <t>Average ACV (blended, used in model)</t>
        </is>
      </c>
      <c r="B14" s="137" t="n">
        <v>2000</v>
      </c>
      <c r="C14" s="137" t="n">
        <v>2500</v>
      </c>
      <c r="D14" s="136" t="inlineStr">
        <is>
          <t>Weighted avg across tiers. Conservative.</t>
        </is>
      </c>
      <c r="E14" s="136" t="inlineStr">
        <is>
          <t>Stage A=1250, B=2000, C=2500</t>
        </is>
      </c>
      <c r="F14" s="127" t="n"/>
      <c r="G14" s="127" t="n"/>
    </row>
    <row r="15" ht="15" customHeight="1" s="125">
      <c r="A15" s="127" t="n"/>
      <c r="B15" s="127" t="n"/>
      <c r="C15" s="127" t="n"/>
      <c r="D15" s="127" t="n"/>
      <c r="E15" s="127" t="n"/>
      <c r="F15" s="127" t="n"/>
      <c r="G15" s="127" t="n"/>
    </row>
    <row r="16" ht="24" customHeight="1" s="125">
      <c r="A16" s="129" t="inlineStr">
        <is>
          <t>HOTEL COUNT MILESTONES</t>
        </is>
      </c>
      <c r="B16" s="130" t="n"/>
      <c r="C16" s="130" t="n"/>
      <c r="D16" s="130" t="n"/>
      <c r="E16" s="130" t="n"/>
      <c r="F16" s="130" t="n"/>
      <c r="G16" s="130" t="n"/>
    </row>
    <row r="17" ht="21.75" customHeight="1" s="125">
      <c r="A17" s="131" t="inlineStr">
        <is>
          <t>Stage</t>
        </is>
      </c>
      <c r="B17" s="132" t="inlineStr">
        <is>
          <t>Hotels (Low)</t>
        </is>
      </c>
      <c r="C17" s="132" t="inlineStr">
        <is>
          <t>Hotels (High)</t>
        </is>
      </c>
      <c r="D17" s="132" t="inlineStr">
        <is>
          <t>Month Range</t>
        </is>
      </c>
      <c r="E17" s="132" t="inlineStr">
        <is>
          <t>MRR Trigger</t>
        </is>
      </c>
      <c r="F17" s="133" t="n"/>
      <c r="G17" s="133" t="n"/>
    </row>
    <row r="18" ht="19.5" customHeight="1" s="125">
      <c r="A18" s="134" t="inlineStr">
        <is>
          <t>Stage 1: Solo founder</t>
        </is>
      </c>
      <c r="B18" s="137" t="n">
        <v>15</v>
      </c>
      <c r="C18" s="137" t="n">
        <v>21</v>
      </c>
      <c r="D18" s="134" t="inlineStr">
        <is>
          <t>Months 1-12</t>
        </is>
      </c>
      <c r="E18" s="134" t="inlineStr">
        <is>
          <t>EUR 19-33K MRR</t>
        </is>
      </c>
      <c r="F18" s="127" t="n"/>
      <c r="G18" s="127" t="n"/>
    </row>
    <row r="19" ht="19.5" customHeight="1" s="125">
      <c r="A19" s="138" t="inlineStr">
        <is>
          <t>Stage 2: First two hires</t>
        </is>
      </c>
      <c r="B19" s="137" t="n">
        <v>30</v>
      </c>
      <c r="C19" s="137" t="n">
        <v>45</v>
      </c>
      <c r="D19" s="138" t="inlineStr">
        <is>
          <t>Months 12-18</t>
        </is>
      </c>
      <c r="E19" s="138" t="inlineStr">
        <is>
          <t>EUR 50-90K MRR</t>
        </is>
      </c>
      <c r="F19" s="127" t="n"/>
      <c r="G19" s="127" t="n"/>
    </row>
    <row r="20" ht="19.5" customHeight="1" s="125">
      <c r="A20" s="134" t="inlineStr">
        <is>
          <t>Stage 3: Team of 5</t>
        </is>
      </c>
      <c r="B20" s="137" t="n">
        <v>70</v>
      </c>
      <c r="C20" s="137" t="n">
        <v>100</v>
      </c>
      <c r="D20" s="134" t="inlineStr">
        <is>
          <t>Months 18-30</t>
        </is>
      </c>
      <c r="E20" s="134" t="inlineStr">
        <is>
          <t>EUR 140-250K MRR</t>
        </is>
      </c>
      <c r="F20" s="127" t="n"/>
      <c r="G20" s="127" t="n"/>
    </row>
    <row r="21" ht="19.5" customHeight="1" s="125">
      <c r="A21" s="138" t="inlineStr">
        <is>
          <t>Stage 4: Team of 8</t>
        </is>
      </c>
      <c r="B21" s="137" t="n">
        <v>100</v>
      </c>
      <c r="C21" s="137" t="n">
        <v>150</v>
      </c>
      <c r="D21" s="138" t="inlineStr">
        <is>
          <t>Months 30-36</t>
        </is>
      </c>
      <c r="E21" s="138" t="inlineStr">
        <is>
          <t>EUR 200-375K MRR</t>
        </is>
      </c>
      <c r="F21" s="127" t="n"/>
      <c r="G21" s="127" t="n"/>
    </row>
    <row r="22" ht="15" customHeight="1" s="125">
      <c r="A22" s="127" t="n"/>
      <c r="B22" s="127" t="n"/>
      <c r="C22" s="127" t="n"/>
      <c r="D22" s="127" t="n"/>
      <c r="E22" s="127" t="n"/>
      <c r="F22" s="127" t="n"/>
      <c r="G22" s="127" t="n"/>
    </row>
    <row r="23" ht="24" customHeight="1" s="125">
      <c r="A23" s="129" t="inlineStr">
        <is>
          <t>PER-HOTEL VARIABLE COSTS (COGS)</t>
        </is>
      </c>
      <c r="B23" s="130" t="n"/>
      <c r="C23" s="130" t="n"/>
      <c r="D23" s="130" t="n"/>
      <c r="E23" s="130" t="n"/>
      <c r="F23" s="130" t="n"/>
      <c r="G23" s="130" t="n"/>
    </row>
    <row r="24" ht="21.75" customHeight="1" s="125">
      <c r="A24" s="131" t="inlineStr">
        <is>
          <t>Cost Item</t>
        </is>
      </c>
      <c r="B24" s="132" t="inlineStr">
        <is>
          <t>Low (EUR/mo)</t>
        </is>
      </c>
      <c r="C24" s="132" t="inlineStr">
        <is>
          <t>High (EUR/mo)</t>
        </is>
      </c>
      <c r="D24" s="132" t="inlineStr">
        <is>
          <t>Notes / Source</t>
        </is>
      </c>
      <c r="E24" s="132" t="inlineStr">
        <is>
          <t>Model Tier</t>
        </is>
      </c>
      <c r="F24" s="133" t="n"/>
      <c r="G24" s="133" t="n"/>
    </row>
    <row r="25" ht="19.5" customHeight="1" s="125">
      <c r="A25" s="134" t="inlineStr">
        <is>
          <t>Review ingestion + extraction</t>
        </is>
      </c>
      <c r="B25" s="139" t="n">
        <v>0.5</v>
      </c>
      <c r="C25" s="139" t="n">
        <v>1.5</v>
      </c>
      <c r="D25" s="136" t="inlineStr">
        <is>
          <t>~600K input, 100K output tokens</t>
        </is>
      </c>
      <c r="E25" s="136" t="inlineStr">
        <is>
          <t>Fast: Haiku 4.5, Flash 3.1</t>
        </is>
      </c>
      <c r="F25" s="127" t="n"/>
      <c r="G25" s="127" t="n"/>
    </row>
    <row r="26" ht="19.5" customHeight="1" s="125">
      <c r="A26" s="138" t="inlineStr">
        <is>
          <t>Persona modeling + demand analysis</t>
        </is>
      </c>
      <c r="B26" s="139" t="n">
        <v>1.5</v>
      </c>
      <c r="C26" s="139" t="n">
        <v>3</v>
      </c>
      <c r="D26" s="136" t="inlineStr">
        <is>
          <t>~300K input, 100K output tokens</t>
        </is>
      </c>
      <c r="E26" s="136" t="inlineStr">
        <is>
          <t>Mid-tier: Sonnet 4.5, GPT-5.4 mini</t>
        </is>
      </c>
      <c r="F26" s="127" t="n"/>
      <c r="G26" s="127" t="n"/>
    </row>
    <row r="27" ht="19.5" customHeight="1" s="125">
      <c r="A27" s="134" t="inlineStr">
        <is>
          <t>Competitive reading (5-8 properties)</t>
        </is>
      </c>
      <c r="B27" s="139" t="n">
        <v>2</v>
      </c>
      <c r="C27" s="139" t="n">
        <v>4</v>
      </c>
      <c r="D27" s="136" t="inlineStr">
        <is>
          <t>~400K input, 150K output tokens</t>
        </is>
      </c>
      <c r="E27" s="136" t="inlineStr">
        <is>
          <t>Mid-tier frontier</t>
        </is>
      </c>
      <c r="F27" s="127" t="n"/>
      <c r="G27" s="127" t="n"/>
    </row>
    <row r="28" ht="19.5" customHeight="1" s="125">
      <c r="A28" s="138" t="inlineStr">
        <is>
          <t>AI discovery monitoring (100-200 queries)</t>
        </is>
      </c>
      <c r="B28" s="139" t="n">
        <v>1</v>
      </c>
      <c r="C28" s="139" t="n">
        <v>3</v>
      </c>
      <c r="D28" s="136" t="inlineStr">
        <is>
          <t>~200K input, 50K output + API costs</t>
        </is>
      </c>
      <c r="E28" s="136" t="inlineStr">
        <is>
          <t>Mixed: API calls + extraction</t>
        </is>
      </c>
      <c r="F28" s="127" t="n"/>
      <c r="G28" s="127" t="n"/>
    </row>
    <row r="29" ht="19.5" customHeight="1" s="125">
      <c r="A29" s="134" t="inlineStr">
        <is>
          <t>Content generation (I+C tier)</t>
        </is>
      </c>
      <c r="B29" s="139" t="n">
        <v>4</v>
      </c>
      <c r="C29" s="139" t="n">
        <v>15</v>
      </c>
      <c r="D29" s="136" t="inlineStr">
        <is>
          <t>~300K in, 500K-1M output tokens</t>
        </is>
      </c>
      <c r="E29" s="136" t="inlineStr">
        <is>
          <t>Mid + top-tier: Opus 4.6, GPT-5.4</t>
        </is>
      </c>
      <c r="F29" s="127" t="n"/>
      <c r="G29" s="127" t="n"/>
    </row>
    <row r="30" ht="19.5" customHeight="1" s="125">
      <c r="A30" s="138" t="inlineStr">
        <is>
          <t>Monthly commercial brief</t>
        </is>
      </c>
      <c r="B30" s="139" t="n">
        <v>1</v>
      </c>
      <c r="C30" s="139" t="n">
        <v>3</v>
      </c>
      <c r="D30" s="136" t="inlineStr">
        <is>
          <t>~200K input, 100K output tokens</t>
        </is>
      </c>
      <c r="E30" s="136" t="inlineStr">
        <is>
          <t>Mid-tier frontier</t>
        </is>
      </c>
      <c r="F30" s="127" t="n"/>
      <c r="G30" s="127" t="n"/>
    </row>
    <row r="31" ht="19.5" customHeight="1" s="125">
      <c r="A31" s="134" t="inlineStr">
        <is>
          <t>TOTAL LLM inference per hotel</t>
        </is>
      </c>
      <c r="B31" s="140">
        <f>SUM(B25:B30)</f>
        <v/>
      </c>
      <c r="C31" s="140">
        <f>SUM(C25:C30)</f>
        <v/>
      </c>
      <c r="D31" s="136" t="inlineStr">
        <is>
          <t>Range: Intelligence-only EUR 8-15, I+C EUR 18-30</t>
        </is>
      </c>
      <c r="E31" s="127" t="n"/>
      <c r="F31" s="127" t="n"/>
      <c r="G31" s="127" t="n"/>
    </row>
    <row r="32" ht="15" customHeight="1" s="125">
      <c r="A32" s="127" t="n"/>
      <c r="B32" s="127" t="n"/>
      <c r="C32" s="127" t="n"/>
      <c r="D32" s="127" t="n"/>
      <c r="E32" s="127" t="n"/>
      <c r="F32" s="127" t="n"/>
      <c r="G32" s="127" t="n"/>
    </row>
    <row r="33" ht="19.5" customHeight="1" s="125">
      <c r="A33" s="134" t="inlineStr">
        <is>
          <t>Review data (TripAdvisor, Booking, Google, Expedia)</t>
        </is>
      </c>
      <c r="B33" s="139" t="n">
        <v>2</v>
      </c>
      <c r="C33" s="139" t="n">
        <v>8</v>
      </c>
      <c r="D33" s="136" t="inlineStr">
        <is>
          <t>Public scraping or API access</t>
        </is>
      </c>
      <c r="E33" s="127" t="n"/>
      <c r="F33" s="127" t="n"/>
      <c r="G33" s="127" t="n"/>
    </row>
    <row r="34" ht="19.5" customHeight="1" s="125">
      <c r="A34" s="138" t="inlineStr">
        <is>
          <t>Competitor website monitoring</t>
        </is>
      </c>
      <c r="B34" s="139" t="n">
        <v>0.5</v>
      </c>
      <c r="C34" s="139" t="n">
        <v>2</v>
      </c>
      <c r="D34" s="136" t="inlineStr">
        <is>
          <t>Scraping/crawling</t>
        </is>
      </c>
      <c r="E34" s="127" t="n"/>
      <c r="F34" s="127" t="n"/>
      <c r="G34" s="127" t="n"/>
    </row>
    <row r="35" ht="19.5" customHeight="1" s="125">
      <c r="A35" s="134" t="inlineStr">
        <is>
          <t>AI platform query costs (discovery monitoring)</t>
        </is>
      </c>
      <c r="B35" s="139" t="n">
        <v>1</v>
      </c>
      <c r="C35" s="139" t="n">
        <v>5</v>
      </c>
      <c r="D35" s="136" t="inlineStr">
        <is>
          <t>Per-query API pricing</t>
        </is>
      </c>
      <c r="E35" s="127" t="n"/>
      <c r="F35" s="127" t="n"/>
      <c r="G35" s="127" t="n"/>
    </row>
    <row r="36" ht="19.5" customHeight="1" s="125">
      <c r="A36" s="138" t="inlineStr">
        <is>
          <t>TOTAL data/API per hotel</t>
        </is>
      </c>
      <c r="B36" s="141">
        <f>SUM(B33:B35)</f>
        <v/>
      </c>
      <c r="C36" s="141">
        <f>SUM(C33:C35)</f>
        <v/>
      </c>
      <c r="D36" s="127" t="n"/>
      <c r="E36" s="127" t="n"/>
      <c r="F36" s="127" t="n"/>
      <c r="G36" s="127" t="n"/>
    </row>
    <row r="37" ht="19.5" customHeight="1" s="125">
      <c r="A37" s="134" t="inlineStr">
        <is>
          <t>Payment processing (Stripe)</t>
        </is>
      </c>
      <c r="B37" s="142" t="n">
        <v>0.03</v>
      </c>
      <c r="C37" s="142" t="n">
        <v>0.025</v>
      </c>
      <c r="D37" s="136" t="inlineStr">
        <is>
          <t>3% monthly billing, 2.5% annual billing</t>
        </is>
      </c>
      <c r="E37" s="127" t="n"/>
      <c r="F37" s="127" t="n"/>
      <c r="G37" s="127" t="n"/>
    </row>
    <row r="38" ht="19.5" customHeight="1" s="125">
      <c r="A38" s="138" t="inlineStr">
        <is>
          <t>TOTAL COGS per hotel (excl. Stripe)</t>
        </is>
      </c>
      <c r="B38" s="141">
        <f>B31+B36</f>
        <v/>
      </c>
      <c r="C38" s="141">
        <f>C31+C36</f>
        <v/>
      </c>
      <c r="D38" s="127" t="n"/>
      <c r="E38" s="127" t="n"/>
      <c r="F38" s="127" t="n"/>
      <c r="G38" s="127" t="n"/>
    </row>
    <row r="39" ht="15" customHeight="1" s="125">
      <c r="A39" s="127" t="n"/>
      <c r="B39" s="127" t="n"/>
      <c r="C39" s="127" t="n"/>
      <c r="D39" s="127" t="n"/>
      <c r="E39" s="127" t="n"/>
      <c r="F39" s="127" t="n"/>
      <c r="G39" s="127" t="n"/>
    </row>
    <row r="40" ht="24" customHeight="1" s="125">
      <c r="A40" s="129" t="inlineStr">
        <is>
          <t>FIXED INFRASTRUCTURE (EUR/month)</t>
        </is>
      </c>
      <c r="B40" s="130" t="n"/>
      <c r="C40" s="130" t="n"/>
      <c r="D40" s="130" t="n"/>
      <c r="E40" s="130" t="n"/>
      <c r="F40" s="130" t="n"/>
      <c r="G40" s="130" t="n"/>
    </row>
    <row r="41" ht="21.75" customHeight="1" s="125">
      <c r="A41" s="131" t="inlineStr">
        <is>
          <t>Service</t>
        </is>
      </c>
      <c r="B41" s="132" t="inlineStr">
        <is>
          <t>Low (EUR/mo)</t>
        </is>
      </c>
      <c r="C41" s="132" t="inlineStr">
        <is>
          <t>High (EUR/mo)</t>
        </is>
      </c>
      <c r="D41" s="132" t="inlineStr">
        <is>
          <t>Notes</t>
        </is>
      </c>
      <c r="E41" s="132" t="inlineStr">
        <is>
          <t>Stage</t>
        </is>
      </c>
      <c r="F41" s="133" t="n"/>
      <c r="G41" s="133" t="n"/>
    </row>
    <row r="42" ht="19.5" customHeight="1" s="125">
      <c r="A42" s="134" t="inlineStr">
        <is>
          <t>Hosting (Vercel)</t>
        </is>
      </c>
      <c r="B42" s="137" t="n">
        <v>20</v>
      </c>
      <c r="C42" s="137" t="n">
        <v>150</v>
      </c>
      <c r="D42" s="136" t="inlineStr">
        <is>
          <t>Pro tier early, Team at scale</t>
        </is>
      </c>
      <c r="E42" s="136" t="inlineStr">
        <is>
          <t>Scales in steps</t>
        </is>
      </c>
      <c r="F42" s="127" t="n"/>
      <c r="G42" s="127" t="n"/>
    </row>
    <row r="43" ht="19.5" customHeight="1" s="125">
      <c r="A43" s="138" t="inlineStr">
        <is>
          <t>Database (Supabase)</t>
        </is>
      </c>
      <c r="B43" s="137" t="n">
        <v>25</v>
      </c>
      <c r="C43" s="137" t="n">
        <v>600</v>
      </c>
      <c r="D43" s="136" t="inlineStr">
        <is>
          <t>Pro early, Team at 30+ customers</t>
        </is>
      </c>
      <c r="E43" s="136" t="inlineStr">
        <is>
          <t>Scales in steps</t>
        </is>
      </c>
      <c r="F43" s="127" t="n"/>
      <c r="G43" s="127" t="n"/>
    </row>
    <row r="44" ht="19.5" customHeight="1" s="125">
      <c r="A44" s="134" t="inlineStr">
        <is>
          <t>Analytics DB (Tinybird)</t>
        </is>
      </c>
      <c r="B44" s="137" t="n">
        <v>0</v>
      </c>
      <c r="C44" s="137" t="n">
        <v>500</v>
      </c>
      <c r="D44" s="136" t="inlineStr">
        <is>
          <t>Free tier early, paid at volume</t>
        </is>
      </c>
      <c r="E44" s="136" t="inlineStr">
        <is>
          <t>Scales in steps</t>
        </is>
      </c>
      <c r="F44" s="127" t="n"/>
      <c r="G44" s="127" t="n"/>
    </row>
    <row r="45" ht="19.5" customHeight="1" s="125">
      <c r="A45" s="138" t="inlineStr">
        <is>
          <t>Workflow orchestration (Inngest/QStash)</t>
        </is>
      </c>
      <c r="B45" s="137" t="n">
        <v>0</v>
      </c>
      <c r="C45" s="137" t="n">
        <v>150</v>
      </c>
      <c r="D45" s="136" t="inlineStr">
        <is>
          <t>Free tier covers early stage</t>
        </is>
      </c>
      <c r="E45" s="136" t="inlineStr">
        <is>
          <t>Scales in steps</t>
        </is>
      </c>
      <c r="F45" s="127" t="n"/>
      <c r="G45" s="127" t="n"/>
    </row>
    <row r="46" ht="19.5" customHeight="1" s="125">
      <c r="A46" s="134" t="inlineStr">
        <is>
          <t>Cache (Upstash Redis)</t>
        </is>
      </c>
      <c r="B46" s="137" t="n">
        <v>10</v>
      </c>
      <c r="C46" s="137" t="n">
        <v>50</v>
      </c>
      <c r="D46" s="136" t="inlineStr">
        <is>
          <t>Pay-per-use</t>
        </is>
      </c>
      <c r="E46" s="136" t="inlineStr">
        <is>
          <t>Linear</t>
        </is>
      </c>
      <c r="F46" s="127" t="n"/>
      <c r="G46" s="127" t="n"/>
    </row>
    <row r="47" ht="19.5" customHeight="1" s="125">
      <c r="A47" s="138" t="inlineStr">
        <is>
          <t>Monitoring + logging (Sentry)</t>
        </is>
      </c>
      <c r="B47" s="137" t="n">
        <v>0</v>
      </c>
      <c r="C47" s="137" t="n">
        <v>50</v>
      </c>
      <c r="D47" s="136" t="inlineStr">
        <is>
          <t>Free tier early</t>
        </is>
      </c>
      <c r="E47" s="136" t="inlineStr">
        <is>
          <t>Scales in steps</t>
        </is>
      </c>
      <c r="F47" s="127" t="n"/>
      <c r="G47" s="127" t="n"/>
    </row>
    <row r="48" ht="19.5" customHeight="1" s="125">
      <c r="A48" s="134" t="inlineStr">
        <is>
          <t>Domain + DNS + SSL</t>
        </is>
      </c>
      <c r="B48" s="137" t="n">
        <v>15</v>
      </c>
      <c r="C48" s="137" t="n">
        <v>25</v>
      </c>
      <c r="D48" s="136" t="inlineStr">
        <is>
          <t>Cloudflare or similar</t>
        </is>
      </c>
      <c r="E48" s="136" t="inlineStr">
        <is>
          <t>Fixed</t>
        </is>
      </c>
      <c r="F48" s="127" t="n"/>
      <c r="G48" s="127" t="n"/>
    </row>
    <row r="49" ht="19.5" customHeight="1" s="125">
      <c r="A49" s="138" t="inlineStr">
        <is>
          <t>Email transactional (Resend)</t>
        </is>
      </c>
      <c r="B49" s="137" t="n">
        <v>0</v>
      </c>
      <c r="C49" s="137" t="n">
        <v>30</v>
      </c>
      <c r="D49" s="136" t="inlineStr">
        <is>
          <t>Free tier early</t>
        </is>
      </c>
      <c r="E49" s="136" t="inlineStr">
        <is>
          <t>Scales in steps</t>
        </is>
      </c>
      <c r="F49" s="127" t="n"/>
      <c r="G49" s="127" t="n"/>
    </row>
    <row r="50" ht="19.5" customHeight="1" s="125">
      <c r="A50" s="134" t="inlineStr">
        <is>
          <t>TOTAL fixed infra</t>
        </is>
      </c>
      <c r="B50" s="143">
        <f>SUM(B42:B49)</f>
        <v/>
      </c>
      <c r="C50" s="143">
        <f>SUM(C42:C49)</f>
        <v/>
      </c>
      <c r="D50" s="127" t="n"/>
      <c r="E50" s="127" t="n"/>
      <c r="F50" s="127" t="n"/>
      <c r="G50" s="127" t="n"/>
    </row>
    <row r="51" ht="15" customHeight="1" s="125">
      <c r="A51" s="127" t="n"/>
      <c r="B51" s="127" t="n"/>
      <c r="C51" s="127" t="n"/>
      <c r="D51" s="127" t="n"/>
      <c r="E51" s="127" t="n"/>
      <c r="F51" s="127" t="n"/>
      <c r="G51" s="127" t="n"/>
    </row>
    <row r="52" ht="24" customHeight="1" s="125">
      <c r="A52" s="129" t="inlineStr">
        <is>
          <t>AI DEVELOPMENT TOOLING (EUR/month)</t>
        </is>
      </c>
      <c r="B52" s="130" t="n"/>
      <c r="C52" s="130" t="n"/>
      <c r="D52" s="130" t="n"/>
      <c r="E52" s="130" t="n"/>
      <c r="F52" s="130" t="n"/>
      <c r="G52" s="130" t="n"/>
    </row>
    <row r="53" ht="21.75" customHeight="1" s="125">
      <c r="A53" s="131" t="inlineStr">
        <is>
          <t>Tool</t>
        </is>
      </c>
      <c r="B53" s="132" t="inlineStr">
        <is>
          <t>Low (EUR/mo)</t>
        </is>
      </c>
      <c r="C53" s="132" t="inlineStr">
        <is>
          <t>High (EUR/mo)</t>
        </is>
      </c>
      <c r="D53" s="132" t="inlineStr">
        <is>
          <t>Notes</t>
        </is>
      </c>
      <c r="E53" s="132" t="inlineStr">
        <is>
          <t>Annual (20% disc)</t>
        </is>
      </c>
      <c r="F53" s="133" t="n"/>
      <c r="G53" s="133" t="n"/>
    </row>
    <row r="54" ht="19.5" customHeight="1" s="125">
      <c r="A54" s="134" t="inlineStr">
        <is>
          <t>Claude Code (Max/Team)</t>
        </is>
      </c>
      <c r="B54" s="137" t="n">
        <v>200</v>
      </c>
      <c r="C54" s="137" t="n">
        <v>200</v>
      </c>
      <c r="D54" s="136" t="inlineStr">
        <is>
          <t>Primary AI coding agent</t>
        </is>
      </c>
      <c r="E54" s="136" t="n">
        <v>1920</v>
      </c>
      <c r="F54" s="127" t="n"/>
      <c r="G54" s="127" t="n"/>
    </row>
    <row r="55" ht="19.5" customHeight="1" s="125">
      <c r="A55" s="138" t="inlineStr">
        <is>
          <t>OpenAI Codex / ChatGPT Pro</t>
        </is>
      </c>
      <c r="B55" s="137" t="n">
        <v>200</v>
      </c>
      <c r="C55" s="137" t="n">
        <v>200</v>
      </c>
      <c r="D55" s="136" t="inlineStr">
        <is>
          <t>Secondary AI coding</t>
        </is>
      </c>
      <c r="E55" s="136" t="n">
        <v>1920</v>
      </c>
      <c r="F55" s="127" t="n"/>
      <c r="G55" s="127" t="n"/>
    </row>
    <row r="56" ht="19.5" customHeight="1" s="125">
      <c r="A56" s="134" t="inlineStr">
        <is>
          <t>Perplexity Pro</t>
        </is>
      </c>
      <c r="B56" s="137" t="n">
        <v>20</v>
      </c>
      <c r="C56" s="137" t="n">
        <v>200</v>
      </c>
      <c r="D56" s="136" t="inlineStr">
        <is>
          <t>Research, competitive monitoring</t>
        </is>
      </c>
      <c r="E56" s="136" t="inlineStr">
        <is>
          <t>192-1920</t>
        </is>
      </c>
      <c r="F56" s="127" t="n"/>
      <c r="G56" s="127" t="n"/>
    </row>
    <row r="57" ht="19.5" customHeight="1" s="125">
      <c r="A57" s="138" t="inlineStr">
        <is>
          <t>Cursor / IDE tooling</t>
        </is>
      </c>
      <c r="B57" s="137" t="n">
        <v>20</v>
      </c>
      <c r="C57" s="137" t="n">
        <v>40</v>
      </c>
      <c r="D57" s="136" t="inlineStr">
        <is>
          <t>AI-assisted dev environment</t>
        </is>
      </c>
      <c r="E57" s="136" t="inlineStr">
        <is>
          <t>192-384</t>
        </is>
      </c>
      <c r="F57" s="127" t="n"/>
      <c r="G57" s="127" t="n"/>
    </row>
    <row r="58" ht="19.5" customHeight="1" s="125">
      <c r="A58" s="134" t="inlineStr">
        <is>
          <t>TOTAL AI dev tooling</t>
        </is>
      </c>
      <c r="B58" s="143">
        <f>SUM(B54:B57)</f>
        <v/>
      </c>
      <c r="C58" s="143">
        <f>SUM(C54:C57)</f>
        <v/>
      </c>
      <c r="D58" s="127" t="n"/>
      <c r="E58" s="127" t="n"/>
      <c r="F58" s="127" t="n"/>
      <c r="G58" s="127" t="n"/>
    </row>
    <row r="59" ht="15" customHeight="1" s="125">
      <c r="A59" s="127" t="n"/>
      <c r="B59" s="127" t="n"/>
      <c r="C59" s="127" t="n"/>
      <c r="D59" s="127" t="n"/>
      <c r="E59" s="127" t="n"/>
      <c r="F59" s="127" t="n"/>
      <c r="G59" s="127" t="n"/>
    </row>
    <row r="60" ht="24" customHeight="1" s="125">
      <c r="A60" s="129" t="inlineStr">
        <is>
          <t>SWISS AG ADMIN / OVERHEAD (CHF/year, converted to EUR/month)</t>
        </is>
      </c>
      <c r="B60" s="130" t="n"/>
      <c r="C60" s="130" t="n"/>
      <c r="D60" s="130" t="n"/>
      <c r="E60" s="130" t="n"/>
      <c r="F60" s="130" t="n"/>
      <c r="G60" s="130" t="n"/>
    </row>
    <row r="61" ht="21.75" customHeight="1" s="125">
      <c r="A61" s="131" t="inlineStr">
        <is>
          <t>Category</t>
        </is>
      </c>
      <c r="B61" s="132" t="inlineStr">
        <is>
          <t>Low (CHF/yr)</t>
        </is>
      </c>
      <c r="C61" s="132" t="inlineStr">
        <is>
          <t>High (CHF/yr)</t>
        </is>
      </c>
      <c r="D61" s="132" t="inlineStr">
        <is>
          <t>Notes / Source</t>
        </is>
      </c>
      <c r="E61" s="132" t="inlineStr">
        <is>
          <t>EUR/month (formula)</t>
        </is>
      </c>
      <c r="F61" s="133" t="n"/>
      <c r="G61" s="133" t="n"/>
    </row>
    <row r="62" ht="19.5" customHeight="1" s="125">
      <c r="A62" s="134" t="inlineStr">
        <is>
          <t>Bookkeeping + tax (Treuhand)</t>
        </is>
      </c>
      <c r="B62" s="137" t="n">
        <v>5000</v>
      </c>
      <c r="C62" s="137" t="n">
        <v>8000</v>
      </c>
      <c r="D62" s="136" t="inlineStr">
        <is>
          <t>SIGTAX: CHF 5-15K for SMEs; low end for pre-rev SaaS</t>
        </is>
      </c>
      <c r="E62" s="143">
        <f>B62/(12*$B$6)</f>
        <v/>
      </c>
      <c r="F62" s="127" t="n"/>
      <c r="G62" s="127" t="n"/>
    </row>
    <row r="63" ht="19.5" customHeight="1" s="125">
      <c r="A63" s="138" t="inlineStr">
        <is>
          <t>Legal (contracts, terms, IP)</t>
        </is>
      </c>
      <c r="B63" s="137" t="n">
        <v>3000</v>
      </c>
      <c r="C63" s="137" t="n">
        <v>6000</v>
      </c>
      <c r="D63" s="136" t="inlineStr">
        <is>
          <t>Front-loaded Y1; Y2+ drops to CHF 2-3K</t>
        </is>
      </c>
      <c r="E63" s="144">
        <f>B63/(12*$B$6)</f>
        <v/>
      </c>
      <c r="F63" s="127" t="n"/>
      <c r="G63" s="127" t="n"/>
    </row>
    <row r="64" ht="19.5" customHeight="1" s="125">
      <c r="A64" s="134" t="inlineStr">
        <is>
          <t>Business liability insurance</t>
        </is>
      </c>
      <c r="B64" s="137" t="n">
        <v>300</v>
      </c>
      <c r="C64" s="137" t="n">
        <v>1500</v>
      </c>
      <c r="D64" s="136" t="inlineStr">
        <is>
          <t>Startups.ch: CHF 300-1,500</t>
        </is>
      </c>
      <c r="E64" s="143">
        <f>B64/(12*$B$6)</f>
        <v/>
      </c>
      <c r="F64" s="127" t="n"/>
      <c r="G64" s="127" t="n"/>
    </row>
    <row r="65" ht="19.5" customHeight="1" s="125">
      <c r="A65" s="138" t="inlineStr">
        <is>
          <t>D&amp;O insurance</t>
        </is>
      </c>
      <c r="B65" s="137" t="n">
        <v>1500</v>
      </c>
      <c r="C65" s="137" t="n">
        <v>3000</v>
      </c>
      <c r="D65" s="136" t="inlineStr">
        <is>
          <t>Startups.ch: CHF 3-15K range; low end &lt;5 ppl</t>
        </is>
      </c>
      <c r="E65" s="144">
        <f>B65/(12*$B$6)</f>
        <v/>
      </c>
      <c r="F65" s="127" t="n"/>
      <c r="G65" s="127" t="n"/>
    </row>
    <row r="66" ht="19.5" customHeight="1" s="125">
      <c r="A66" s="134" t="inlineStr">
        <is>
          <t>Coworking (Zurich, hot desk)</t>
        </is>
      </c>
      <c r="B66" s="137" t="n">
        <v>4200</v>
      </c>
      <c r="C66" s="137" t="n">
        <v>7800</v>
      </c>
      <c r="D66" s="136" t="inlineStr">
        <is>
          <t>Office Hub Zürich: CHF 350-650/mo</t>
        </is>
      </c>
      <c r="E66" s="143">
        <f>B66/(12*$B$6)</f>
        <v/>
      </c>
      <c r="F66" s="127" t="n"/>
      <c r="G66" s="127" t="n"/>
    </row>
    <row r="67" ht="19.5" customHeight="1" s="125">
      <c r="A67" s="138" t="inlineStr">
        <is>
          <t>Internet, phone, misc office</t>
        </is>
      </c>
      <c r="B67" s="137" t="n">
        <v>1200</v>
      </c>
      <c r="C67" s="137" t="n">
        <v>1800</v>
      </c>
      <c r="D67" s="136" t="inlineStr">
        <is>
          <t>CHF 100-150/month</t>
        </is>
      </c>
      <c r="E67" s="144">
        <f>B67/(12*$B$6)</f>
        <v/>
      </c>
      <c r="F67" s="127" t="n"/>
      <c r="G67" s="127" t="n"/>
    </row>
    <row r="68" ht="19.5" customHeight="1" s="125">
      <c r="A68" s="134" t="inlineStr">
        <is>
          <t>Annual governance</t>
        </is>
      </c>
      <c r="B68" s="137" t="n">
        <v>500</v>
      </c>
      <c r="C68" s="137" t="n">
        <v>1000</v>
      </c>
      <c r="D68" s="136" t="inlineStr">
        <is>
          <t>SIGTAX: CHF 2-5K complex; low for a simple 3-founder setup</t>
        </is>
      </c>
      <c r="E68" s="143">
        <f>B68/(12*$B$6)</f>
        <v/>
      </c>
      <c r="F68" s="127" t="n"/>
      <c r="G68" s="127" t="n"/>
    </row>
    <row r="69" ht="19.5" customHeight="1" s="125">
      <c r="A69" s="138" t="inlineStr">
        <is>
          <t>TOTAL Swiss admin (CHF/yr)</t>
        </is>
      </c>
      <c r="B69" s="144">
        <f>SUM(B62:B68)</f>
        <v/>
      </c>
      <c r="C69" s="144">
        <f>SUM(C62:C68)</f>
        <v/>
      </c>
      <c r="D69" s="136" t="inlineStr">
        <is>
          <t>CHF 19,400-32,500/yr = CHF 1,600-2,700/mo</t>
        </is>
      </c>
      <c r="E69" s="144">
        <f>B69/(12*$B$6)</f>
        <v/>
      </c>
      <c r="F69" s="127" t="n"/>
      <c r="G69" s="127" t="n"/>
    </row>
    <row r="70" ht="19.5" customHeight="1" s="125">
      <c r="A70" s="134" t="inlineStr">
        <is>
          <t>TOTAL Swiss admin (EUR/month)</t>
        </is>
      </c>
      <c r="B70" s="143">
        <f>B69/(12*$B$6)</f>
        <v/>
      </c>
      <c r="C70" s="143">
        <f>C69/(12*$B$6)</f>
        <v/>
      </c>
      <c r="D70" s="136" t="inlineStr">
        <is>
          <t>CHF total / 12 / FX rate</t>
        </is>
      </c>
      <c r="E70" s="127" t="n"/>
      <c r="F70" s="127" t="n"/>
      <c r="G70" s="127" t="n"/>
    </row>
    <row r="71" ht="15" customHeight="1" s="125">
      <c r="A71" s="127" t="n"/>
      <c r="B71" s="127" t="n"/>
      <c r="C71" s="127" t="n"/>
      <c r="D71" s="127" t="n"/>
      <c r="E71" s="127" t="n"/>
      <c r="F71" s="127" t="n"/>
      <c r="G71" s="127" t="n"/>
    </row>
    <row r="72" ht="24" customHeight="1" s="125">
      <c r="A72" s="129" t="inlineStr">
        <is>
          <t>FOUNDER COMPENSATION</t>
        </is>
      </c>
      <c r="B72" s="130" t="n"/>
      <c r="C72" s="130" t="n"/>
      <c r="D72" s="130" t="n"/>
      <c r="E72" s="130" t="n"/>
      <c r="F72" s="130" t="n"/>
      <c r="G72" s="130" t="n"/>
    </row>
    <row r="73" ht="21.75" customHeight="1" s="125">
      <c r="A73" s="131" t="inlineStr">
        <is>
          <t>Parameter</t>
        </is>
      </c>
      <c r="B73" s="132" t="inlineStr">
        <is>
          <t>Value</t>
        </is>
      </c>
      <c r="C73" s="132" t="inlineStr">
        <is>
          <t>EUR Equivalent</t>
        </is>
      </c>
      <c r="D73" s="132" t="inlineStr">
        <is>
          <t>Notes / Source</t>
        </is>
      </c>
      <c r="E73" s="132" t="inlineStr">
        <is>
          <t>Validation</t>
        </is>
      </c>
      <c r="F73" s="133" t="n"/>
      <c r="G73" s="133" t="n"/>
    </row>
    <row r="74" ht="19.5" customHeight="1" s="125">
      <c r="A74" s="134" t="inlineStr">
        <is>
          <t>Founder gross salary (CHF/year)</t>
        </is>
      </c>
      <c r="B74" s="137" t="n">
        <v>48000</v>
      </c>
      <c r="C74" s="143">
        <f>B74/$B$6</f>
        <v/>
      </c>
      <c r="D74" s="136" t="inlineStr">
        <is>
          <t>CHF 4,000/mo gross. Aligned to business plan v4.</t>
        </is>
      </c>
      <c r="E74" s="136" t="inlineStr">
        <is>
          <t>Creandum: EUR 85-100K seed median</t>
        </is>
      </c>
      <c r="F74" s="127" t="n"/>
      <c r="G74" s="127" t="n"/>
    </row>
    <row r="75" ht="19.5" customHeight="1" s="125">
      <c r="A75" s="138" t="inlineStr">
        <is>
          <t>Founder salary (EUR/month)</t>
        </is>
      </c>
      <c r="B75" s="144">
        <f>B74/(12*$B$6)</f>
        <v/>
      </c>
      <c r="C75" s="127" t="n"/>
      <c r="D75" s="136" t="inlineStr">
        <is>
          <t>CHF 48K / 12 / 0.91 = EUR 4,396/mo</t>
        </is>
      </c>
      <c r="E75" s="127" t="n"/>
      <c r="F75" s="127" t="n"/>
      <c r="G75" s="127" t="n"/>
    </row>
    <row r="76" ht="19.5" customHeight="1" s="125">
      <c r="A76" s="134" t="inlineStr">
        <is>
          <t>Founder salary at scale (EUR/month)</t>
        </is>
      </c>
      <c r="B76" s="137" t="n">
        <v>6000</v>
      </c>
      <c r="C76" s="137" t="n">
        <v>8000</v>
      </c>
      <c r="D76" s="136" t="inlineStr">
        <is>
          <t>Scales with revenue at Stage C (75 hotels)</t>
        </is>
      </c>
      <c r="E76" s="127" t="n"/>
      <c r="F76" s="127" t="n"/>
      <c r="G76" s="127" t="n"/>
    </row>
    <row r="77" ht="15" customHeight="1" s="125">
      <c r="A77" s="127" t="n"/>
      <c r="B77" s="127" t="n"/>
      <c r="C77" s="127" t="n"/>
      <c r="D77" s="127" t="n"/>
      <c r="E77" s="127" t="n"/>
      <c r="F77" s="127" t="n"/>
      <c r="G77" s="127" t="n"/>
    </row>
    <row r="78" ht="19.5" customHeight="1" s="125">
      <c r="A78" s="134" t="inlineStr">
        <is>
          <t>Milestone Bonuses</t>
        </is>
      </c>
      <c r="B78" s="127" t="n"/>
      <c r="C78" s="127" t="n"/>
      <c r="D78" s="127" t="n"/>
      <c r="E78" s="127" t="n"/>
      <c r="F78" s="127" t="n"/>
      <c r="G78" s="127" t="n"/>
    </row>
    <row r="79" ht="19.5" customHeight="1" s="125">
      <c r="A79" s="138" t="inlineStr">
        <is>
          <t>Milestone 1: 5 paying hotels</t>
        </is>
      </c>
      <c r="B79" s="137" t="n">
        <v>10000</v>
      </c>
      <c r="C79" s="127" t="n"/>
      <c r="D79" s="136" t="inlineStr">
        <is>
          <t>Product-market validation</t>
        </is>
      </c>
      <c r="E79" s="127" t="n"/>
      <c r="F79" s="127" t="n"/>
      <c r="G79" s="127" t="n"/>
    </row>
    <row r="80" ht="19.5" customHeight="1" s="125">
      <c r="A80" s="134" t="inlineStr">
        <is>
          <t>Milestone 2: EUR 25K MRR</t>
        </is>
      </c>
      <c r="B80" s="137" t="n">
        <v>15000</v>
      </c>
      <c r="C80" s="127" t="n"/>
      <c r="D80" s="136" t="inlineStr">
        <is>
          <t>Commercial traction</t>
        </is>
      </c>
      <c r="E80" s="127" t="n"/>
      <c r="F80" s="127" t="n"/>
      <c r="G80" s="127" t="n"/>
    </row>
    <row r="81" ht="19.5" customHeight="1" s="125">
      <c r="A81" s="138" t="inlineStr">
        <is>
          <t>Milestone 3: EUR 75K MRR</t>
        </is>
      </c>
      <c r="B81" s="137" t="n">
        <v>20000</v>
      </c>
      <c r="C81" s="127" t="n"/>
      <c r="D81" s="136" t="inlineStr">
        <is>
          <t>Scaling confirmation</t>
        </is>
      </c>
      <c r="E81" s="127" t="n"/>
      <c r="F81" s="127" t="n"/>
      <c r="G81" s="127" t="n"/>
    </row>
    <row r="82" ht="19.5" customHeight="1" s="125">
      <c r="A82" s="134" t="inlineStr">
        <is>
          <t>Revenue-based component</t>
        </is>
      </c>
      <c r="B82" s="142" t="n">
        <v>0.02</v>
      </c>
      <c r="C82" s="127" t="n"/>
      <c r="D82" s="136" t="inlineStr">
        <is>
          <t>2% of MRR once sustained profitability. EUR 75K MRR = EUR 1,500/mo add.</t>
        </is>
      </c>
      <c r="E82" s="127" t="n"/>
      <c r="F82" s="127" t="n"/>
      <c r="G82" s="127" t="n"/>
    </row>
    <row r="83" ht="15" customHeight="1" s="125">
      <c r="A83" s="127" t="n"/>
      <c r="B83" s="127" t="n"/>
      <c r="C83" s="127" t="n"/>
      <c r="D83" s="127" t="n"/>
      <c r="E83" s="127" t="n"/>
      <c r="F83" s="127" t="n"/>
      <c r="G83" s="127" t="n"/>
    </row>
    <row r="84" ht="24" customHeight="1" s="125">
      <c r="A84" s="129" t="inlineStr">
        <is>
          <t>HIRING PLAN — COST PER ROLE (EUR/month)</t>
        </is>
      </c>
      <c r="B84" s="130" t="n"/>
      <c r="C84" s="130" t="n"/>
      <c r="D84" s="130" t="n"/>
      <c r="E84" s="130" t="n"/>
      <c r="F84" s="130" t="n"/>
      <c r="G84" s="130" t="n"/>
    </row>
    <row r="85" ht="21.75" customHeight="1" s="125">
      <c r="A85" s="131" t="inlineStr">
        <is>
          <t>Role</t>
        </is>
      </c>
      <c r="B85" s="132" t="inlineStr">
        <is>
          <t>Low (EUR/mo)</t>
        </is>
      </c>
      <c r="C85" s="132" t="inlineStr">
        <is>
          <t>High (EUR/mo)</t>
        </is>
      </c>
      <c r="D85" s="132" t="inlineStr">
        <is>
          <t>Hire Stage</t>
        </is>
      </c>
      <c r="E85" s="132" t="inlineStr">
        <is>
          <t>Notes</t>
        </is>
      </c>
      <c r="F85" s="133" t="n"/>
      <c r="G85" s="133" t="n"/>
    </row>
    <row r="86" ht="19.5" customHeight="1" s="125">
      <c r="A86" s="134" t="inlineStr">
        <is>
          <t>Customer success / implementation lead</t>
        </is>
      </c>
      <c r="B86" s="137" t="n">
        <v>5000</v>
      </c>
      <c r="C86" s="137" t="n">
        <v>7000</v>
      </c>
      <c r="D86" s="136" t="inlineStr">
        <is>
          <t>Stage 2 (month 12)</t>
        </is>
      </c>
      <c r="E86" s="136" t="inlineStr">
        <is>
          <t>First hire. Frees founder from daily ops.</t>
        </is>
      </c>
      <c r="F86" s="127" t="n"/>
      <c r="G86" s="127" t="n"/>
    </row>
    <row r="87" ht="19.5" customHeight="1" s="125">
      <c r="A87" s="138" t="inlineStr">
        <is>
          <t>CTO / senior engineer</t>
        </is>
      </c>
      <c r="B87" s="137" t="n">
        <v>10000</v>
      </c>
      <c r="C87" s="137" t="n">
        <v>15000</v>
      </c>
      <c r="D87" s="136" t="inlineStr">
        <is>
          <t>Stage 2 (month 12)</t>
        </is>
      </c>
      <c r="E87" s="136" t="inlineStr">
        <is>
          <t>European remote; Zurich = EUR 12-18K.</t>
        </is>
      </c>
      <c r="F87" s="127" t="n"/>
      <c r="G87" s="127" t="n"/>
    </row>
    <row r="88" ht="19.5" customHeight="1" s="125">
      <c r="A88" s="134" t="inlineStr">
        <is>
          <t>Second engineer (full-stack/AI-ML)</t>
        </is>
      </c>
      <c r="B88" s="137" t="n">
        <v>6000</v>
      </c>
      <c r="C88" s="137" t="n">
        <v>9000</v>
      </c>
      <c r="D88" s="136" t="inlineStr">
        <is>
          <t>Stage 3 (month 18)</t>
        </is>
      </c>
      <c r="E88" s="136" t="inlineStr">
        <is>
          <t>Parallel dev streams.</t>
        </is>
      </c>
      <c r="F88" s="127" t="n"/>
      <c r="G88" s="127" t="n"/>
    </row>
    <row r="89" ht="19.5" customHeight="1" s="125">
      <c r="A89" s="138" t="inlineStr">
        <is>
          <t>Sales / business development</t>
        </is>
      </c>
      <c r="B89" s="137" t="n">
        <v>6000</v>
      </c>
      <c r="C89" s="137" t="n">
        <v>9000</v>
      </c>
      <c r="D89" s="136" t="inlineStr">
        <is>
          <t>Stage 3 (month 18)</t>
        </is>
      </c>
      <c r="E89" s="136" t="inlineStr">
        <is>
          <t>+ commission. Outbound, events, partners.</t>
        </is>
      </c>
      <c r="F89" s="127" t="n"/>
      <c r="G89" s="127" t="n"/>
    </row>
    <row r="90" ht="19.5" customHeight="1" s="125">
      <c r="A90" s="134" t="inlineStr">
        <is>
          <t>Second engineer (infra/DevOps)</t>
        </is>
      </c>
      <c r="B90" s="137" t="n">
        <v>7000</v>
      </c>
      <c r="C90" s="137" t="n">
        <v>10000</v>
      </c>
      <c r="D90" s="136" t="inlineStr">
        <is>
          <t>Stage 4 (month 30)</t>
        </is>
      </c>
      <c r="E90" s="136" t="inlineStr">
        <is>
          <t>Infrastructure hardening.</t>
        </is>
      </c>
      <c r="F90" s="127" t="n"/>
      <c r="G90" s="127" t="n"/>
    </row>
    <row r="91" ht="19.5" customHeight="1" s="125">
      <c r="A91" s="138" t="inlineStr">
        <is>
          <t>Second customer success</t>
        </is>
      </c>
      <c r="B91" s="137" t="n">
        <v>5000</v>
      </c>
      <c r="C91" s="137" t="n">
        <v>7000</v>
      </c>
      <c r="D91" s="136" t="inlineStr">
        <is>
          <t>Stage 4 (month 30)</t>
        </is>
      </c>
      <c r="E91" s="136" t="inlineStr">
        <is>
          <t>Regional/language coverage.</t>
        </is>
      </c>
      <c r="F91" s="127" t="n"/>
      <c r="G91" s="127" t="n"/>
    </row>
    <row r="92" ht="19.5" customHeight="1" s="125">
      <c r="A92" s="134" t="inlineStr">
        <is>
          <t>Marketing / content marketing</t>
        </is>
      </c>
      <c r="B92" s="137" t="n">
        <v>5000</v>
      </c>
      <c r="C92" s="137" t="n">
        <v>8000</v>
      </c>
      <c r="D92" s="136" t="inlineStr">
        <is>
          <t>Stage 4 (month 30)</t>
        </is>
      </c>
      <c r="E92" s="136" t="inlineStr">
        <is>
          <t>Brand, content, events.</t>
        </is>
      </c>
      <c r="F92" s="127" t="n"/>
      <c r="G92" s="127" t="n"/>
    </row>
    <row r="93" ht="19.5" customHeight="1" s="125">
      <c r="A93" s="138" t="inlineStr">
        <is>
          <t>TOTAL all 7 hires</t>
        </is>
      </c>
      <c r="B93" s="144">
        <f>SUM(B86:B92)</f>
        <v/>
      </c>
      <c r="C93" s="144">
        <f>SUM(C86:C92)</f>
        <v/>
      </c>
      <c r="D93" s="136" t="inlineStr">
        <is>
          <t>Should = EUR 44,000 - 65,000</t>
        </is>
      </c>
      <c r="E93" s="127" t="n"/>
      <c r="F93" s="127" t="n"/>
      <c r="G93" s="127" t="n"/>
    </row>
    <row r="94" ht="15" customHeight="1" s="125">
      <c r="A94" s="127" t="n"/>
      <c r="B94" s="127" t="n"/>
      <c r="C94" s="127" t="n"/>
      <c r="D94" s="127" t="n"/>
      <c r="E94" s="127" t="n"/>
      <c r="F94" s="127" t="n"/>
      <c r="G94" s="127" t="n"/>
    </row>
    <row r="95" ht="24" customHeight="1" s="125">
      <c r="A95" s="129" t="inlineStr">
        <is>
          <t>ONE-TIME INCORPORATION COSTS (CHF)</t>
        </is>
      </c>
      <c r="B95" s="130" t="n"/>
      <c r="C95" s="130" t="n"/>
      <c r="D95" s="130" t="n"/>
      <c r="E95" s="130" t="n"/>
      <c r="F95" s="130" t="n"/>
      <c r="G95" s="130" t="n"/>
    </row>
    <row r="96" ht="21.75" customHeight="1" s="125">
      <c r="A96" s="131" t="inlineStr">
        <is>
          <t>Category</t>
        </is>
      </c>
      <c r="B96" s="132" t="inlineStr">
        <is>
          <t>Low (CHF)</t>
        </is>
      </c>
      <c r="C96" s="132" t="inlineStr">
        <is>
          <t>High (CHF)</t>
        </is>
      </c>
      <c r="D96" s="132" t="inlineStr">
        <is>
          <t>Source</t>
        </is>
      </c>
      <c r="E96" s="132" t="inlineStr">
        <is>
          <t>EUR equivalent</t>
        </is>
      </c>
      <c r="F96" s="133" t="n"/>
      <c r="G96" s="133" t="n"/>
    </row>
    <row r="97" ht="19.5" customHeight="1" s="125">
      <c r="A97" s="134" t="inlineStr">
        <is>
          <t>Notary (articles of association)</t>
        </is>
      </c>
      <c r="B97" s="137" t="n">
        <v>700</v>
      </c>
      <c r="C97" s="137" t="n">
        <v>3000</v>
      </c>
      <c r="D97" s="136" t="inlineStr">
        <is>
          <t>Rister 2025 fee schedule</t>
        </is>
      </c>
      <c r="E97" s="143">
        <f>B97/$B$6</f>
        <v/>
      </c>
      <c r="F97" s="127" t="n"/>
      <c r="G97" s="127" t="n"/>
    </row>
    <row r="98" ht="19.5" customHeight="1" s="125">
      <c r="A98" s="138" t="inlineStr">
        <is>
          <t>Commercial register (Handelsregister)</t>
        </is>
      </c>
      <c r="B98" s="137" t="n">
        <v>600</v>
      </c>
      <c r="C98" s="137" t="n">
        <v>600</v>
      </c>
      <c r="D98" s="136" t="inlineStr">
        <is>
          <t>Federal registry fee</t>
        </is>
      </c>
      <c r="E98" s="144">
        <f>B98/$B$6</f>
        <v/>
      </c>
      <c r="F98" s="127" t="n"/>
      <c r="G98" s="127" t="n"/>
    </row>
    <row r="99" ht="19.5" customHeight="1" s="125">
      <c r="A99" s="134" t="inlineStr">
        <is>
          <t>Bank account opening + capital deposit</t>
        </is>
      </c>
      <c r="B99" s="137" t="n">
        <v>200</v>
      </c>
      <c r="C99" s="137" t="n">
        <v>350</v>
      </c>
      <c r="D99" s="136" t="inlineStr">
        <is>
          <t>UBS/ZKB startup accounts</t>
        </is>
      </c>
      <c r="E99" s="143">
        <f>B99/$B$6</f>
        <v/>
      </c>
      <c r="F99" s="127" t="n"/>
      <c r="G99" s="127" t="n"/>
    </row>
    <row r="100" ht="19.5" customHeight="1" s="125">
      <c r="A100" s="138" t="inlineStr">
        <is>
          <t>Share capital deposit (AG minimum)</t>
        </is>
      </c>
      <c r="B100" s="137" t="n">
        <v>50000</v>
      </c>
      <c r="C100" s="137" t="n">
        <v>100000</v>
      </c>
      <c r="D100" s="136" t="inlineStr">
        <is>
          <t>Swiss CO Art. 621; CHF 100K nom, CHF 50K min paid-in</t>
        </is>
      </c>
      <c r="E100" s="144">
        <f>B100/$B$6</f>
        <v/>
      </c>
      <c r="F100" s="127" t="n"/>
      <c r="G100" s="127" t="n"/>
    </row>
    <row r="101" ht="19.5" customHeight="1" s="125">
      <c r="A101" s="134" t="inlineStr">
        <is>
          <t>TOTAL incorporation</t>
        </is>
      </c>
      <c r="B101" s="143">
        <f>SUM(B97:B100)</f>
        <v/>
      </c>
      <c r="C101" s="143">
        <f>SUM(C97:C100)</f>
        <v/>
      </c>
      <c r="D101" s="127" t="n"/>
      <c r="E101" s="143">
        <f>B101/$B$6</f>
        <v/>
      </c>
      <c r="F101" s="127" t="n"/>
      <c r="G101" s="127" t="n"/>
    </row>
    <row r="102" ht="15" customHeight="1" s="125">
      <c r="A102" s="127" t="n"/>
      <c r="B102" s="127" t="n"/>
      <c r="C102" s="127" t="n"/>
      <c r="D102" s="127" t="n"/>
      <c r="E102" s="127" t="n"/>
      <c r="F102" s="127" t="n"/>
      <c r="G102" s="127" t="n"/>
    </row>
    <row r="103" ht="24" customHeight="1" s="125">
      <c r="A103" s="129" t="inlineStr">
        <is>
          <t>MARKET SIZE ASSUMPTIONS</t>
        </is>
      </c>
      <c r="B103" s="130" t="n"/>
      <c r="C103" s="130" t="n"/>
      <c r="D103" s="130" t="n"/>
      <c r="E103" s="130" t="n"/>
      <c r="F103" s="130" t="n"/>
      <c r="G103" s="130" t="n"/>
    </row>
    <row r="104" ht="21.75" customHeight="1" s="125">
      <c r="A104" s="131" t="inlineStr">
        <is>
          <t>Parameter</t>
        </is>
      </c>
      <c r="B104" s="132" t="inlineStr">
        <is>
          <t>Low</t>
        </is>
      </c>
      <c r="C104" s="132" t="inlineStr">
        <is>
          <t>High</t>
        </is>
      </c>
      <c r="D104" s="132" t="inlineStr">
        <is>
          <t>Source</t>
        </is>
      </c>
      <c r="E104" s="132" t="inlineStr">
        <is>
          <t>Notes</t>
        </is>
      </c>
      <c r="F104" s="133" t="n"/>
      <c r="G104" s="133" t="n"/>
    </row>
    <row r="105" ht="19.5" customHeight="1" s="125">
      <c r="A105" s="134" t="inlineStr">
        <is>
          <t>Global premium/luxury hotels (4-5 star, ADR&gt;EUR200)</t>
        </is>
      </c>
      <c r="B105" s="137" t="n">
        <v>55000</v>
      </c>
      <c r="C105" s="137" t="n">
        <v>75000</v>
      </c>
      <c r="D105" s="136" t="inlineStr">
        <is>
          <t>STR, UNWTO, brand data</t>
        </is>
      </c>
      <c r="E105" s="136" t="inlineStr">
        <is>
          <t>TAM denominator</t>
        </is>
      </c>
      <c r="F105" s="127" t="n"/>
      <c r="G105" s="127" t="n"/>
    </row>
    <row r="106" ht="19.5" customHeight="1" s="125">
      <c r="A106" s="138" t="inlineStr">
        <is>
          <t>Global TAM at EUR 24-36K ACV</t>
        </is>
      </c>
      <c r="B106" s="137" t="n">
        <v>1300000000</v>
      </c>
      <c r="C106" s="137" t="n">
        <v>2700000000</v>
      </c>
      <c r="D106" s="136" t="inlineStr">
        <is>
          <t>Hotels × ACV</t>
        </is>
      </c>
      <c r="E106" s="136" t="inlineStr">
        <is>
          <t>Hotels x ACV</t>
        </is>
      </c>
      <c r="F106" s="127" t="n"/>
      <c r="G106" s="127" t="n"/>
    </row>
    <row r="107" ht="19.5" customHeight="1" s="125">
      <c r="A107" s="134" t="inlineStr">
        <is>
          <t>European 4-5 star premium</t>
        </is>
      </c>
      <c r="B107" s="137" t="n">
        <v>25000</v>
      </c>
      <c r="C107" s="137" t="n">
        <v>25000</v>
      </c>
      <c r="D107" s="136" t="inlineStr">
        <is>
          <t>STR data</t>
        </is>
      </c>
      <c r="E107" s="136" t="inlineStr">
        <is>
          <t>ACV EUR 30K</t>
        </is>
      </c>
      <c r="F107" s="127" t="n"/>
      <c r="G107" s="127" t="n"/>
    </row>
    <row r="108" ht="19.5" customHeight="1" s="125">
      <c r="A108" s="138" t="inlineStr">
        <is>
          <t>European 5-star luxury</t>
        </is>
      </c>
      <c r="B108" s="137" t="n">
        <v>5000</v>
      </c>
      <c r="C108" s="137" t="n">
        <v>5000</v>
      </c>
      <c r="D108" s="136" t="inlineStr">
        <is>
          <t>STR data</t>
        </is>
      </c>
      <c r="E108" s="136" t="inlineStr">
        <is>
          <t>ACV EUR 48K</t>
        </is>
      </c>
      <c r="F108" s="127" t="n"/>
      <c r="G108" s="127" t="n"/>
    </row>
    <row r="109" ht="19.5" customHeight="1" s="125">
      <c r="A109" s="134" t="inlineStr">
        <is>
          <t>SAM: European focus (CH, IT, FR, ES, DACH)</t>
        </is>
      </c>
      <c r="B109" s="137" t="n">
        <v>6000</v>
      </c>
      <c r="C109" s="137" t="n">
        <v>8000</v>
      </c>
      <c r="D109" s="136" t="inlineStr">
        <is>
          <t>Subset of European</t>
        </is>
      </c>
      <c r="E109" s="136" t="inlineStr">
        <is>
          <t>Year 1-3 focus</t>
        </is>
      </c>
      <c r="F109" s="127" t="n"/>
      <c r="G109" s="127" t="n"/>
    </row>
    <row r="110" ht="19.5" customHeight="1" s="125">
      <c r="A110" s="138" t="inlineStr">
        <is>
          <t>SAM at EUR 2-3K/mo avg</t>
        </is>
      </c>
      <c r="B110" s="137" t="n">
        <v>144000000</v>
      </c>
      <c r="C110" s="137" t="n">
        <v>288000000</v>
      </c>
      <c r="D110" s="136" t="inlineStr">
        <is>
          <t>SAM hotels × EUR 24-36K</t>
        </is>
      </c>
      <c r="E110" s="127" t="n"/>
      <c r="F110" s="127" t="n"/>
      <c r="G110" s="127" t="n"/>
    </row>
    <row r="111" ht="19.5" customHeight="1" s="125">
      <c r="A111" s="134" t="inlineStr">
        <is>
          <t>Swiss 4-5 star HotellerieSuisse members</t>
        </is>
      </c>
      <c r="B111" s="137" t="n">
        <v>649</v>
      </c>
      <c r="C111" s="137" t="n">
        <v>649</v>
      </c>
      <c r="D111" s="136" t="inlineStr">
        <is>
          <t>HotellerieSuisse dataset</t>
        </is>
      </c>
      <c r="E111" s="136" t="inlineStr">
        <is>
          <t>528 four-star + 121 five-star</t>
        </is>
      </c>
      <c r="F111" s="127" t="n"/>
      <c r="G111" s="127" t="n"/>
    </row>
    <row r="112" ht="19.5" customHeight="1" s="125">
      <c r="A112" s="138" t="inlineStr">
        <is>
          <t>Swiss premium segment (ADR ≥ CHF 250)</t>
        </is>
      </c>
      <c r="B112" s="137" t="n">
        <v>329</v>
      </c>
      <c r="C112" s="137" t="n">
        <v>329</v>
      </c>
      <c r="D112" s="136" t="inlineStr">
        <is>
          <t>HotellerieSuisse data</t>
        </is>
      </c>
      <c r="E112" s="136" t="inlineStr">
        <is>
          <t>285 Premium + 41 Luxury + 3 near-threshold</t>
        </is>
      </c>
      <c r="F112" s="127" t="n"/>
      <c r="G112" s="127" t="n"/>
    </row>
    <row r="113" ht="19.5" customHeight="1" s="125">
      <c r="A113" s="134" t="inlineStr">
        <is>
          <t>Swiss hotels with named GMs</t>
        </is>
      </c>
      <c r="B113" s="137" t="n">
        <v>148</v>
      </c>
      <c r="C113" s="137" t="n">
        <v>148</v>
      </c>
      <c r="D113" s="136" t="inlineStr">
        <is>
          <t>HotellerieSuisse dataset</t>
        </is>
      </c>
      <c r="E113" s="136" t="inlineStr">
        <is>
          <t>99% have contact emails</t>
        </is>
      </c>
      <c r="F113" s="127" t="n"/>
      <c r="G113" s="127" t="n"/>
    </row>
    <row r="114" ht="19.5" customHeight="1" s="125">
      <c r="A114" s="138" t="inlineStr">
        <is>
          <t>100-150 hotel target = % of Swiss premium</t>
        </is>
      </c>
      <c r="B114" s="145">
        <f>100/329</f>
        <v/>
      </c>
      <c r="C114" s="127">
        <f>150/329</f>
        <v/>
      </c>
      <c r="D114" s="136" t="inlineStr">
        <is>
          <t>100 hotels / 329 premium Swiss = 30.4%; 150 hotels / 329 = 45.6%</t>
        </is>
      </c>
      <c r="E114" s="136" t="inlineStr">
        <is>
          <t>Use target range, not 75 hotels.</t>
        </is>
      </c>
      <c r="F114" s="127" t="n"/>
      <c r="G114" s="127" t="n"/>
    </row>
    <row r="115" ht="15" customHeight="1" s="125">
      <c r="A115" s="127" t="n"/>
      <c r="B115" s="127" t="n"/>
      <c r="C115" s="127" t="n"/>
      <c r="D115" s="127" t="n"/>
      <c r="E115" s="127" t="n"/>
      <c r="F115" s="127" t="n"/>
      <c r="G115" s="127" t="n"/>
    </row>
    <row r="116" ht="24" customHeight="1" s="125">
      <c r="A116" s="129" t="inlineStr">
        <is>
          <t>SWISS GEOGRAPHIC CLUSTERS (4-5 star hotels)</t>
        </is>
      </c>
      <c r="B116" s="130" t="n"/>
      <c r="C116" s="130" t="n"/>
      <c r="D116" s="130" t="n"/>
      <c r="E116" s="130" t="n"/>
      <c r="F116" s="130" t="n"/>
      <c r="G116" s="130" t="n"/>
    </row>
    <row r="117" ht="21.75" customHeight="1" s="125">
      <c r="A117" s="131" t="inlineStr">
        <is>
          <t>Cluster</t>
        </is>
      </c>
      <c r="B117" s="132" t="inlineStr">
        <is>
          <t>Hotels</t>
        </is>
      </c>
      <c r="C117" s="146" t="n"/>
      <c r="D117" s="132" t="inlineStr">
        <is>
          <t>Notes</t>
        </is>
      </c>
      <c r="E117" s="146" t="n"/>
      <c r="F117" s="133" t="n"/>
      <c r="G117" s="133" t="n"/>
    </row>
    <row r="118" ht="19.5" customHeight="1" s="125">
      <c r="A118" s="134" t="inlineStr">
        <is>
          <t>Zermatt</t>
        </is>
      </c>
      <c r="B118" s="147" t="n">
        <v>54</v>
      </c>
      <c r="C118" s="127" t="n"/>
      <c r="D118" s="127" t="n"/>
      <c r="E118" s="127" t="n"/>
      <c r="F118" s="127" t="n"/>
      <c r="G118" s="127" t="n"/>
    </row>
    <row r="119" ht="19.5" customHeight="1" s="125">
      <c r="A119" s="138" t="inlineStr">
        <is>
          <t>Zurich</t>
        </is>
      </c>
      <c r="B119" s="147" t="n">
        <v>48</v>
      </c>
      <c r="C119" s="127" t="n"/>
      <c r="D119" s="127" t="n"/>
      <c r="E119" s="127" t="n"/>
      <c r="F119" s="127" t="n"/>
      <c r="G119" s="127" t="n"/>
    </row>
    <row r="120" ht="19.5" customHeight="1" s="125">
      <c r="A120" s="134" t="inlineStr">
        <is>
          <t>Geneva</t>
        </is>
      </c>
      <c r="B120" s="147" t="n">
        <v>32</v>
      </c>
      <c r="C120" s="127" t="n"/>
      <c r="D120" s="127" t="n"/>
      <c r="E120" s="127" t="n"/>
      <c r="F120" s="127" t="n"/>
      <c r="G120" s="127" t="n"/>
    </row>
    <row r="121" ht="19.5" customHeight="1" s="125">
      <c r="A121" s="138" t="inlineStr">
        <is>
          <t>Basel</t>
        </is>
      </c>
      <c r="B121" s="147" t="n">
        <v>21</v>
      </c>
      <c r="C121" s="127" t="n"/>
      <c r="D121" s="127" t="n"/>
      <c r="E121" s="127" t="n"/>
      <c r="F121" s="127" t="n"/>
      <c r="G121" s="127" t="n"/>
    </row>
    <row r="122" ht="19.5" customHeight="1" s="125">
      <c r="A122" s="134" t="inlineStr">
        <is>
          <t>Lucerne</t>
        </is>
      </c>
      <c r="B122" s="147" t="n">
        <v>18</v>
      </c>
      <c r="C122" s="127" t="n"/>
      <c r="D122" s="127" t="n"/>
      <c r="E122" s="127" t="n"/>
      <c r="F122" s="127" t="n"/>
      <c r="G122" s="127" t="n"/>
    </row>
    <row r="123" ht="19.5" customHeight="1" s="125">
      <c r="A123" s="138" t="inlineStr">
        <is>
          <t>Crans-Montana</t>
        </is>
      </c>
      <c r="B123" s="147" t="n">
        <v>15</v>
      </c>
      <c r="C123" s="127" t="n"/>
      <c r="D123" s="127" t="n"/>
      <c r="E123" s="127" t="n"/>
      <c r="F123" s="127" t="n"/>
      <c r="G123" s="127" t="n"/>
    </row>
    <row r="124" ht="19.5" customHeight="1" s="125">
      <c r="A124" s="134" t="inlineStr">
        <is>
          <t>St. Moritz</t>
        </is>
      </c>
      <c r="B124" s="147" t="n">
        <v>13</v>
      </c>
      <c r="C124" s="127" t="n"/>
      <c r="D124" s="127" t="n"/>
      <c r="E124" s="127" t="n"/>
      <c r="F124" s="127" t="n"/>
      <c r="G124" s="127" t="n"/>
    </row>
    <row r="125" ht="19.5" customHeight="1" s="125">
      <c r="A125" s="138" t="inlineStr">
        <is>
          <t>Interlaken</t>
        </is>
      </c>
      <c r="B125" s="147" t="n">
        <v>13</v>
      </c>
      <c r="C125" s="127" t="n"/>
      <c r="D125" s="127" t="n"/>
      <c r="E125" s="127" t="n"/>
      <c r="F125" s="127" t="n"/>
      <c r="G125" s="127" t="n"/>
    </row>
    <row r="126" ht="19.5" customHeight="1" s="125">
      <c r="A126" s="134" t="inlineStr">
        <is>
          <t>Total in named clusters</t>
        </is>
      </c>
      <c r="B126" s="148">
        <f>SUM(B118:B125)</f>
        <v/>
      </c>
      <c r="C126" s="127" t="n"/>
      <c r="D126" s="127" t="n"/>
      <c r="E126" s="127" t="n"/>
      <c r="F126" s="127" t="n"/>
      <c r="G126" s="127" t="n"/>
    </row>
    <row r="128" ht="15" customHeight="1" s="125">
      <c r="A128" s="149" t="inlineStr">
        <is>
          <t>RETENTION &amp; CHURN ASSUMPTIONS</t>
        </is>
      </c>
    </row>
    <row r="129" ht="15" customHeight="1" s="125">
      <c r="A129" s="150" t="inlineStr">
        <is>
          <t>Parameter</t>
        </is>
      </c>
      <c r="B129" s="150" t="inlineStr">
        <is>
          <t>Low</t>
        </is>
      </c>
      <c r="C129" s="150" t="inlineStr">
        <is>
          <t>High</t>
        </is>
      </c>
      <c r="D129" s="150" t="inlineStr">
        <is>
          <t>Notes</t>
        </is>
      </c>
    </row>
    <row r="130" ht="15" customHeight="1" s="125">
      <c r="A130" s="127" t="inlineStr">
        <is>
          <t>Annual logo churn rate</t>
        </is>
      </c>
      <c r="B130" s="151" t="n">
        <v>0.05</v>
      </c>
      <c r="C130" s="151" t="n">
        <v>0.08</v>
      </c>
      <c r="D130" s="152" t="inlineStr">
        <is>
          <t>Premium hotels at EUR 2K+/mo ACV. High switching costs (brand voice, benchmarks, personas). Comparable: TrustYou, Revinate 5-10% range.</t>
        </is>
      </c>
    </row>
    <row r="131" ht="15" customHeight="1" s="125">
      <c r="A131" s="127" t="inlineStr">
        <is>
          <t>Net revenue retention (NRR)</t>
        </is>
      </c>
      <c r="B131" s="151" t="n">
        <v>1.1</v>
      </c>
      <c r="C131" s="151" t="n">
        <v>1.2</v>
      </c>
      <c r="D131" s="152" t="inlineStr">
        <is>
          <t>Expansion: tier upgrades (Intel → Intel+Content), group rollouts (1→3-15 properties), annual price increases (3-5%). Vertical SaaS median ~114%.</t>
        </is>
      </c>
    </row>
    <row r="132" ht="15" customHeight="1" s="125">
      <c r="A132" s="127" t="inlineStr">
        <is>
          <t>Hotels lost to churn at 100 hotels (annual)</t>
        </is>
      </c>
      <c r="B132" s="127">
        <f>ROUND(100*B130,0)</f>
        <v/>
      </c>
      <c r="C132" s="127">
        <f>ROUND(100*C130,0)</f>
        <v/>
      </c>
      <c r="D132" s="152" t="inlineStr">
        <is>
          <t>Replaceable within 3-4 months of steady-state pipeline.</t>
        </is>
      </c>
    </row>
    <row r="133" ht="15" customHeight="1" s="125">
      <c r="A133" s="127" t="inlineStr">
        <is>
          <t>Months of pipeline to replace churned hotels</t>
        </is>
      </c>
      <c r="B133" s="127">
        <f>ROUND(B132/2,1)</f>
        <v/>
      </c>
      <c r="C133" s="127">
        <f>ROUND(C132/2,1)</f>
        <v/>
      </c>
      <c r="D133" s="152" t="inlineStr">
        <is>
          <t>At steady-state ~2 new hotels/month from sales pipeline.</t>
        </is>
      </c>
    </row>
    <row r="135" ht="15" customHeight="1" s="125">
      <c r="A135" s="153" t="inlineStr">
        <is>
          <t>MARKETING &amp; DISTRIBUTION BUDGET</t>
        </is>
      </c>
      <c r="B135" s="127" t="n"/>
      <c r="C135" s="127" t="n"/>
      <c r="D135" s="127" t="n"/>
      <c r="E135" s="127" t="n"/>
    </row>
    <row r="136" ht="15" customHeight="1" s="125">
      <c r="A136" s="127" t="n"/>
      <c r="B136" s="127" t="n"/>
      <c r="C136" s="127" t="n"/>
      <c r="D136" s="127" t="n"/>
      <c r="E136" s="127" t="n"/>
    </row>
    <row r="137" ht="15" customHeight="1" s="125">
      <c r="A137" s="154" t="inlineStr">
        <is>
          <t>PHASED SPEND (18 MONTHS)</t>
        </is>
      </c>
      <c r="B137" s="155" t="n"/>
      <c r="C137" s="155" t="n"/>
      <c r="D137" s="127" t="n"/>
      <c r="E137" s="127" t="n"/>
    </row>
    <row r="138" ht="15" customHeight="1" s="125">
      <c r="A138" s="154" t="inlineStr">
        <is>
          <t>Phase</t>
        </is>
      </c>
      <c r="B138" s="156" t="inlineStr">
        <is>
          <t>Monthly (EUR)</t>
        </is>
      </c>
      <c r="C138" s="156" t="inlineStr">
        <is>
          <t>Total (EUR)</t>
        </is>
      </c>
      <c r="D138" s="154" t="inlineStr">
        <is>
          <t>Notes</t>
        </is>
      </c>
      <c r="E138" s="127" t="n"/>
    </row>
    <row r="139" ht="15" customHeight="1" s="125">
      <c r="A139" s="157" t="inlineStr">
        <is>
          <t>Pre-breakeven, months 1-6 (seed-funded)</t>
        </is>
      </c>
      <c r="B139" s="158" t="inlineStr">
        <is>
          <t>1,500-2,000</t>
        </is>
      </c>
      <c r="C139" s="158" t="inlineStr">
        <is>
          <t>9,000-12,000</t>
        </is>
      </c>
      <c r="D139" s="159" t="inlineStr">
        <is>
          <t>LinkedIn content, 1-2 events (attendee), initial case study, collateral design. Seed-funded.</t>
        </is>
      </c>
      <c r="E139" s="127" t="n"/>
    </row>
    <row r="140" ht="15" customHeight="1" s="125">
      <c r="A140" s="157" t="inlineStr">
        <is>
          <t>Post-breakeven, months 7-12 (revenue-funded)</t>
        </is>
      </c>
      <c r="B140" s="158" t="inlineStr">
        <is>
          <t>2,500-3,500</t>
        </is>
      </c>
      <c r="C140" s="158" t="inlineStr">
        <is>
          <t>15,000-21,000</t>
        </is>
      </c>
      <c r="D140" s="159" t="inlineStr">
        <is>
          <t>Add industry events (ITB, IHIF), paid LinkedIn campaigns, 2-3 more case studies. Funded from operating cash flow.</t>
        </is>
      </c>
      <c r="E140" s="127" t="n"/>
    </row>
    <row r="141" ht="15" customHeight="1" s="125">
      <c r="A141" s="157" t="inlineStr">
        <is>
          <t>Scaling, months 13-18 (revenue-funded)</t>
        </is>
      </c>
      <c r="B141" s="158" t="inlineStr">
        <is>
          <t>3,000-5,000</t>
        </is>
      </c>
      <c r="C141" s="158" t="inlineStr">
        <is>
          <t>18,000-30,000</t>
        </is>
      </c>
      <c r="D141" s="159" t="inlineStr">
        <is>
          <t>Full program: event sponsorship (small), PR/trade press, expanded content, CRM tooling. Revenue-funded.</t>
        </is>
      </c>
      <c r="E141" s="127" t="n"/>
    </row>
    <row r="142" ht="15" customHeight="1" s="125">
      <c r="A142" s="160" t="inlineStr">
        <is>
          <t>TOTAL 18-month marketing</t>
        </is>
      </c>
      <c r="B142" s="160" t="inlineStr">
        <is>
          <t>~2,300-3,500/mo avg</t>
        </is>
      </c>
      <c r="C142" s="160" t="inlineStr">
        <is>
          <t>30,000-50,000</t>
        </is>
      </c>
      <c r="D142" s="159" t="inlineStr">
        <is>
          <t>Low = EUR 30K, High = EUR 50K. Matches 'Marketing and distribution' on Investment &amp; Capital sheet.</t>
        </is>
      </c>
      <c r="E142" s="127" t="n"/>
    </row>
    <row r="143" ht="15" customHeight="1" s="125">
      <c r="A143" s="127" t="n"/>
      <c r="B143" s="127" t="n"/>
      <c r="C143" s="127" t="n"/>
      <c r="D143" s="127" t="n"/>
      <c r="E143" s="127" t="n"/>
    </row>
    <row r="144" ht="15" customHeight="1" s="125">
      <c r="A144" s="154" t="inlineStr">
        <is>
          <t>LINE ITEM BREAKDOWN</t>
        </is>
      </c>
      <c r="B144" s="127" t="n"/>
      <c r="C144" s="127" t="n"/>
      <c r="D144" s="127" t="n"/>
      <c r="E144" s="127" t="n"/>
    </row>
    <row r="145" ht="15" customHeight="1" s="125">
      <c r="A145" s="154" t="inlineStr">
        <is>
          <t>Item</t>
        </is>
      </c>
      <c r="B145" s="154" t="inlineStr">
        <is>
          <t>Low (EUR)</t>
        </is>
      </c>
      <c r="C145" s="154" t="inlineStr">
        <is>
          <t>High (EUR)</t>
        </is>
      </c>
      <c r="D145" s="154" t="inlineStr">
        <is>
          <t>Notes</t>
        </is>
      </c>
      <c r="E145" s="127" t="n"/>
    </row>
    <row r="146" ht="15" customHeight="1" s="125">
      <c r="A146" s="157" t="inlineStr">
        <is>
          <t>LinkedIn content + paid promotion</t>
        </is>
      </c>
      <c r="B146" s="161" t="n">
        <v>8000</v>
      </c>
      <c r="C146" s="161" t="n">
        <v>14000</v>
      </c>
      <c r="D146" s="159" t="inlineStr">
        <is>
          <t>EUR 500-800/mo. European niche CPC = EUR 4-6 (Pettauer EU LinkedIn Benchmarks 2025-26). Document ads: 22.7% lead form completion. Narrow audience (&lt;100K) cuts CPL ~50%.</t>
        </is>
      </c>
    </row>
    <row r="147" ht="15" customHeight="1" s="125">
      <c r="A147" s="157" t="inlineStr">
        <is>
          <t>Industry events (ITB, IHIF, Sleep, WTM)</t>
        </is>
      </c>
      <c r="B147" s="161" t="n">
        <v>6000</v>
      </c>
      <c r="C147" s="161" t="n">
        <v>12000</v>
      </c>
      <c r="D147" s="159" t="inlineStr">
        <is>
          <t>3-4 events/yr. IHIF EMEA All-Access: EUR 2,800/pass. ITB Berlin/WTM: attendee first, sponsorship from Y2 (EUR 5-25K). Booths deferred to sales hire.</t>
        </is>
      </c>
    </row>
    <row r="148" ht="15" customHeight="1" s="125">
      <c r="A148" s="157" t="inlineStr">
        <is>
          <t>Case study production + branded collateral</t>
        </is>
      </c>
      <c r="B148" s="161" t="n">
        <v>4000</v>
      </c>
      <c r="C148" s="161" t="n">
        <v>7000</v>
      </c>
      <c r="D148" s="159" t="inlineStr">
        <is>
          <t>Founder-produced with freelance design (EUR 500-1,000 each). Agency case studies cost USD 4,725-5,500/each (Concurate 2025). AI-assisted copywriting reduces costs 20-30%.</t>
        </is>
      </c>
    </row>
    <row r="149" ht="15" customHeight="1" s="125">
      <c r="A149" s="157" t="inlineStr">
        <is>
          <t>Travel (events + key prospect meetings)</t>
        </is>
      </c>
      <c r="B149" s="161" t="n">
        <v>5000</v>
      </c>
      <c r="C149" s="161" t="n">
        <v>9000</v>
      </c>
      <c r="D149" s="159" t="inlineStr">
        <is>
          <t>Flights, hotels for 3-4 events/yr + ad-hoc GM meetings in Zermatt, St. Moritz, etc.</t>
        </is>
      </c>
    </row>
    <row r="150" ht="15" customHeight="1" s="125">
      <c r="A150" s="157" t="inlineStr">
        <is>
          <t>PR / hospitality trade press</t>
        </is>
      </c>
      <c r="B150" s="161" t="n">
        <v>2000</v>
      </c>
      <c r="C150" s="161" t="n">
        <v>4000</v>
      </c>
      <c r="D150" s="159" t="inlineStr">
        <is>
          <t>Selective outreach to Hospitality Net, Skift, htr.ch. Founder profile pieces.</t>
        </is>
      </c>
    </row>
    <row r="151" ht="15" customHeight="1" s="125">
      <c r="A151" s="157" t="inlineStr">
        <is>
          <t>CRM + email tools (HubSpot free → starter)</t>
        </is>
      </c>
      <c r="B151" s="161" t="n">
        <v>1500</v>
      </c>
      <c r="C151" s="161" t="n">
        <v>3000</v>
      </c>
      <c r="D151" s="159" t="inlineStr">
        <is>
          <t>Attio free (3 seats) or HubSpot free → Starter ($9/seat/mo = EUR 8/seat/mo). Professional ($90/seat) only after sales hire. Source: HubSpot 2025.</t>
        </is>
      </c>
    </row>
    <row r="152" ht="15" customHeight="1" s="125">
      <c r="A152" s="157" t="inlineStr">
        <is>
          <t>Contingency (new channel test)</t>
        </is>
      </c>
      <c r="B152" s="161" t="n">
        <v>3500</v>
      </c>
      <c r="C152" s="161" t="n">
        <v>5000</v>
      </c>
      <c r="D152" s="159" t="inlineStr">
        <is>
          <t>Buffer for testing paid acquisition if pipeline slows after month 9.</t>
        </is>
      </c>
    </row>
    <row r="153" ht="15" customHeight="1" s="125">
      <c r="A153" s="150" t="inlineStr">
        <is>
          <t>TOTAL line items</t>
        </is>
      </c>
      <c r="B153" s="150">
        <f>SUM(B146:B152)</f>
        <v/>
      </c>
      <c r="C153" s="150">
        <f>SUM(C146:C152)</f>
        <v/>
      </c>
      <c r="D153" s="159" t="inlineStr">
        <is>
          <t>Should roughly match EUR 30-50K phased total above. Minor rounding ok.</t>
        </is>
      </c>
    </row>
    <row r="155" ht="15" customHeight="1" s="125">
      <c r="A155" s="154" t="inlineStr">
        <is>
          <t>KEY NOTES</t>
        </is>
      </c>
    </row>
    <row r="156" ht="15" customHeight="1" s="125">
      <c r="A156" s="162" t="inlineStr">
        <is>
          <t>Pre-breakeven marketing (EUR 9-12K) is the only seed draw. Post-breakeven spend (EUR 21-38K) comes from operating cash flow. Marketing scales with revenue, not ahead of it.</t>
        </is>
      </c>
    </row>
    <row r="157" ht="15" customHeight="1" s="125">
      <c r="A157" s="162" t="inlineStr">
        <is>
          <t>Marketing = 8-12% of expected cumulative 18-month revenue. SaaS Capital 2025: smallest B2B SaaS ($1-3M ARR) spend 7% median. Pre-PMF companies spend 30-60%. Our 8-12% reflects founder-led + network sales, not PLG.</t>
        </is>
      </c>
    </row>
    <row r="158" ht="15" customHeight="1" s="125">
      <c r="A158" s="162" t="inlineStr">
        <is>
          <t>Full-time marketing hire (EUR 5-8K/mo) arrives at Stage 4 (month 30). Until then: founder executes. Freemius 2025: 45.7% of micro-SaaS products are solo-founded; 50% rely on communities + referrals over paid ads.</t>
        </is>
      </c>
    </row>
    <row r="159" ht="15" customHeight="1" s="125">
      <c r="A159" s="162" t="inlineStr">
        <is>
          <t>No Google Ads or Meta Ads budgeted. 57% of founders report 7+ months to see paid ad ROI (Freemius 2025). Paid acquisition is a contingency channel, activated only if pipeline stalls after month 9.</t>
        </is>
      </c>
    </row>
    <row r="160" ht="15" customHeight="1" s="125">
      <c r="A160" s="162" t="inlineStr">
        <is>
          <t>LinkedIn document ads outperform video 10:1 on lead form completion (22.7% vs 2.3%, Pettauer 2025). Prioritize document/carousel formats for case study distribution.</t>
        </is>
      </c>
    </row>
    <row r="163" ht="15" customHeight="1" s="125">
      <c r="A163" s="163" t="inlineStr">
        <is>
          <t>MONTE CARLO SIMULATION PARAMETERS</t>
        </is>
      </c>
      <c r="B163" s="164" t="n"/>
      <c r="C163" s="164" t="n"/>
      <c r="D163" s="164" t="n"/>
      <c r="E163" s="164" t="n"/>
      <c r="F163" s="164" t="n"/>
      <c r="G163" s="164" t="n"/>
    </row>
    <row r="165" ht="15" customHeight="1" s="125">
      <c r="A165" s="157" t="inlineStr">
        <is>
          <t>Two independent Monte Carlo simulations validate the financial model:</t>
        </is>
      </c>
    </row>
    <row r="166" ht="15" customHeight="1" s="125">
      <c r="A166" s="157" t="inlineStr">
        <is>
          <t>• Simulation 1 (sim1): Canonical business-plan Monte Carlo v2. Operator-seeded vs operator + follow-on angel, both AI-native. 10,000 runs. Used for current plan numbers.</t>
        </is>
      </c>
    </row>
    <row r="167" ht="15" customHeight="1" s="125">
      <c r="A167" s="157" t="inlineStr">
        <is>
          <t>• Simulation v4: Separate 5-channel acquisition model. Exploratory upside model used for Scenario B, Scenario C, and sensitivity work; not directly comparable to Scenario A.</t>
        </is>
      </c>
    </row>
    <row r="169" ht="15" customHeight="1" s="125">
      <c r="A169" s="163" t="inlineStr">
        <is>
          <t>Sim1 — Operator-Seeded Scenario Parameters</t>
        </is>
      </c>
      <c r="B169" s="164" t="n"/>
      <c r="C169" s="164" t="n"/>
      <c r="D169" s="164" t="n"/>
      <c r="E169" s="164" t="n"/>
      <c r="F169" s="164" t="n"/>
      <c r="G169" s="164" t="n"/>
    </row>
    <row r="170" ht="15" customHeight="1" s="125">
      <c r="A170" s="165" t="inlineStr">
        <is>
          <t>Parameter</t>
        </is>
      </c>
      <c r="B170" s="165" t="inlineStr">
        <is>
          <t>Low (P10)</t>
        </is>
      </c>
      <c r="C170" s="165" t="inlineStr">
        <is>
          <t>Mode</t>
        </is>
      </c>
      <c r="D170" s="165" t="inlineStr">
        <is>
          <t>High (P90)</t>
        </is>
      </c>
      <c r="E170" s="165" t="inlineStr">
        <is>
          <t>Notes</t>
        </is>
      </c>
    </row>
    <row r="171" ht="15" customHeight="1" s="125">
      <c r="A171" s="166" t="inlineStr">
        <is>
          <t>Warm intro rate (hotels/mo)</t>
        </is>
      </c>
      <c r="B171" s="167" t="n">
        <v>3</v>
      </c>
      <c r="C171" s="167" t="n">
        <v>3.5</v>
      </c>
      <c r="D171" s="167" t="n">
        <v>4.2</v>
      </c>
      <c r="E171" s="168" t="inlineStr">
        <is>
          <t>Network-driven: Marco + Amedeo Guffanti distribution</t>
        </is>
      </c>
    </row>
    <row r="172" ht="15" customHeight="1" s="125">
      <c r="A172" s="169" t="inlineStr">
        <is>
          <t>Early demo→PoV conversion</t>
        </is>
      </c>
      <c r="B172" s="170" t="inlineStr">
        <is>
          <t>55%</t>
        </is>
      </c>
      <c r="C172" s="170" t="inlineStr">
        <is>
          <t>68%</t>
        </is>
      </c>
      <c r="D172" s="170" t="inlineStr">
        <is>
          <t>80%</t>
        </is>
      </c>
      <c r="E172" s="171" t="inlineStr">
        <is>
          <t>First 12 months, warm pipeline</t>
        </is>
      </c>
    </row>
    <row r="173" ht="15" customHeight="1" s="125">
      <c r="A173" s="166" t="inlineStr">
        <is>
          <t>Late demo→PoV conversion</t>
        </is>
      </c>
      <c r="B173" s="167" t="inlineStr">
        <is>
          <t>48%</t>
        </is>
      </c>
      <c r="C173" s="167" t="inlineStr">
        <is>
          <t>60%</t>
        </is>
      </c>
      <c r="D173" s="167" t="inlineStr">
        <is>
          <t>74%</t>
        </is>
      </c>
      <c r="E173" s="168" t="inlineStr">
        <is>
          <t>After month 12, mixed pipeline</t>
        </is>
      </c>
    </row>
    <row r="174" ht="15" customHeight="1" s="125">
      <c r="A174" s="169" t="inlineStr">
        <is>
          <t>Early PoV→full conversion</t>
        </is>
      </c>
      <c r="B174" s="170" t="inlineStr">
        <is>
          <t>40%</t>
        </is>
      </c>
      <c r="C174" s="170" t="inlineStr">
        <is>
          <t>47%</t>
        </is>
      </c>
      <c r="D174" s="170" t="inlineStr">
        <is>
          <t>55%</t>
        </is>
      </c>
      <c r="E174" s="171" t="inlineStr">
        <is>
          <t>First 12 months</t>
        </is>
      </c>
    </row>
    <row r="175" ht="15" customHeight="1" s="125">
      <c r="A175" s="166" t="inlineStr">
        <is>
          <t>Late PoV→full conversion</t>
        </is>
      </c>
      <c r="B175" s="167" t="inlineStr">
        <is>
          <t>44%</t>
        </is>
      </c>
      <c r="C175" s="167" t="inlineStr">
        <is>
          <t>52%</t>
        </is>
      </c>
      <c r="D175" s="167" t="inlineStr">
        <is>
          <t>62%</t>
        </is>
      </c>
      <c r="E175" s="168" t="inlineStr">
        <is>
          <t>After month 12, proven product</t>
        </is>
      </c>
    </row>
    <row r="176" ht="15" customHeight="1" s="125">
      <c r="A176" s="169" t="inlineStr">
        <is>
          <t>Non-network demo ramp</t>
        </is>
      </c>
      <c r="B176" s="170" t="n">
        <v>0.2</v>
      </c>
      <c r="C176" s="170" t="n">
        <v>0.6</v>
      </c>
      <c r="D176" s="170" t="n">
        <v>1.2</v>
      </c>
      <c r="E176" s="171" t="inlineStr">
        <is>
          <t>Cold/inbound demos/month by M18</t>
        </is>
      </c>
    </row>
    <row r="177" ht="15" customHeight="1" s="125">
      <c r="A177" s="166" t="inlineStr">
        <is>
          <t>Monthly group rollout prob</t>
        </is>
      </c>
      <c r="B177" s="167" t="inlineStr">
        <is>
          <t>0.4%</t>
        </is>
      </c>
      <c r="C177" s="167" t="inlineStr">
        <is>
          <t>1.0%</t>
        </is>
      </c>
      <c r="D177" s="167" t="inlineStr">
        <is>
          <t>1.8%</t>
        </is>
      </c>
      <c r="E177" s="168" t="inlineStr">
        <is>
          <t>Probability existing hotel triggers portfolio expansion</t>
        </is>
      </c>
    </row>
    <row r="178" ht="15" customHeight="1" s="125">
      <c r="A178" s="169" t="inlineStr">
        <is>
          <t>Group rollout size</t>
        </is>
      </c>
      <c r="B178" s="170" t="n">
        <v>2</v>
      </c>
      <c r="C178" s="170" t="n">
        <v>3.2</v>
      </c>
      <c r="D178" s="170" t="n">
        <v>5</v>
      </c>
      <c r="E178" s="171" t="inlineStr">
        <is>
          <t>Hotels per group expansion</t>
        </is>
      </c>
    </row>
    <row r="179" ht="15" customHeight="1" s="125">
      <c r="A179" s="166" t="inlineStr">
        <is>
          <t>Annual logo churn</t>
        </is>
      </c>
      <c r="B179" s="167" t="inlineStr">
        <is>
          <t>5%</t>
        </is>
      </c>
      <c r="C179" s="167" t="inlineStr">
        <is>
          <t>7%</t>
        </is>
      </c>
      <c r="D179" s="167" t="inlineStr">
        <is>
          <t>10%</t>
        </is>
      </c>
      <c r="E179" s="168" t="inlineStr">
        <is>
          <t>Consistent with Assumptions row 130</t>
        </is>
      </c>
    </row>
    <row r="180" ht="15" customHeight="1" s="125">
      <c r="A180" s="169" t="inlineStr">
        <is>
          <t>Content upgrade prob (monthly)</t>
        </is>
      </c>
      <c r="B180" s="170" t="inlineStr">
        <is>
          <t>0.5%</t>
        </is>
      </c>
      <c r="C180" s="170" t="inlineStr">
        <is>
          <t>1.2%</t>
        </is>
      </c>
      <c r="D180" s="170" t="inlineStr">
        <is>
          <t>2.0%</t>
        </is>
      </c>
      <c r="E180" s="171" t="inlineStr">
        <is>
          <t>Tier upgrade probability</t>
        </is>
      </c>
    </row>
    <row r="181" ht="15" customHeight="1" s="125">
      <c r="A181" s="166" t="inlineStr">
        <is>
          <t>Expansion MRR growth (monthly)</t>
        </is>
      </c>
      <c r="B181" s="167" t="inlineStr">
        <is>
          <t>0.1%</t>
        </is>
      </c>
      <c r="C181" s="167" t="inlineStr">
        <is>
          <t>0.4%</t>
        </is>
      </c>
      <c r="D181" s="167" t="inlineStr">
        <is>
          <t>0.8%</t>
        </is>
      </c>
      <c r="E181" s="168" t="inlineStr">
        <is>
          <t>Organic MRR expansion per hotel</t>
        </is>
      </c>
    </row>
    <row r="182" ht="15" customHeight="1" s="125">
      <c r="A182" s="169" t="inlineStr">
        <is>
          <t>Exit multiple (ARR)</t>
        </is>
      </c>
      <c r="B182" s="170" t="inlineStr">
        <is>
          <t>3.8x</t>
        </is>
      </c>
      <c r="C182" s="170" t="inlineStr">
        <is>
          <t>5.0x</t>
        </is>
      </c>
      <c r="D182" s="170" t="inlineStr">
        <is>
          <t>6.5x</t>
        </is>
      </c>
      <c r="E182" s="171" t="inlineStr">
        <is>
          <t>Vertical SaaS: 4-7x ARR typical</t>
        </is>
      </c>
    </row>
    <row r="184" ht="15" customHeight="1" s="125">
      <c r="A184" s="163" t="inlineStr">
        <is>
          <t>Sim v4 — 5-Channel Acquisition Parameters (Path A / Bootstrap)</t>
        </is>
      </c>
      <c r="B184" s="164" t="n"/>
      <c r="C184" s="164" t="n"/>
      <c r="D184" s="164" t="n"/>
      <c r="E184" s="164" t="n"/>
      <c r="F184" s="164" t="n"/>
      <c r="G184" s="164" t="n"/>
    </row>
    <row r="185" ht="15" customHeight="1" s="125">
      <c r="A185" s="165" t="inlineStr">
        <is>
          <t>Parameter</t>
        </is>
      </c>
      <c r="B185" s="165" t="inlineStr">
        <is>
          <t>Value</t>
        </is>
      </c>
      <c r="C185" s="165" t="n"/>
      <c r="D185" s="165" t="n"/>
      <c r="E185" s="165" t="inlineStr">
        <is>
          <t>Notes</t>
        </is>
      </c>
    </row>
    <row r="186" ht="15" customHeight="1" s="125">
      <c r="A186" s="166" t="inlineStr">
        <is>
          <t>Seed capital (EUR)</t>
        </is>
      </c>
      <c r="B186" s="167" t="n">
        <v>164835</v>
      </c>
      <c r="C186" s="172" t="n"/>
      <c r="D186" s="172" t="inlineStr">
        <is>
          <t>CHF 150K / 0.91 FX. Exploratory upside path uses the same corrected seed anchor.</t>
        </is>
      </c>
      <c r="E186" s="168" t="inlineStr">
        <is>
          <t>CHF 150K at 0.91 EUR/CHF</t>
        </is>
      </c>
    </row>
    <row r="187" ht="15" customHeight="1" s="125">
      <c r="A187" s="169" t="inlineStr">
        <is>
          <t>Share capital (EUR)</t>
        </is>
      </c>
      <c r="B187" s="170" t="n">
        <v>54945</v>
      </c>
      <c r="C187" s="173" t="n"/>
      <c r="D187" s="173" t="inlineStr">
        <is>
          <t>CHF 50K / 0.91 FX. Share capital carved out inside the seed structure.</t>
        </is>
      </c>
      <c r="E187" s="171" t="inlineStr">
        <is>
          <t>Minimum Aktienkapital for AG</t>
        </is>
      </c>
    </row>
    <row r="188" ht="15" customHeight="1" s="125">
      <c r="A188" s="166" t="inlineStr">
        <is>
          <t>ACV median (EUR)</t>
        </is>
      </c>
      <c r="B188" s="167" t="inlineStr">
        <is>
          <t>1,755</t>
        </is>
      </c>
      <c r="C188" s="172" t="n"/>
      <c r="D188" s="172" t="n"/>
      <c r="E188" s="168" t="inlineStr">
        <is>
          <t>From synthetic buyer research: CHF 1,950 median ≈ EUR 1,755</t>
        </is>
      </c>
    </row>
    <row r="189" ht="15" customHeight="1" s="125">
      <c r="A189" s="169" t="inlineStr">
        <is>
          <t>ACV annual growth</t>
        </is>
      </c>
      <c r="B189" s="170" t="inlineStr">
        <is>
          <t>10%</t>
        </is>
      </c>
      <c r="C189" s="173" t="n"/>
      <c r="D189" s="173" t="n"/>
      <c r="E189" s="171" t="inlineStr">
        <is>
          <t>Annual price increases + tier upgrades</t>
        </is>
      </c>
    </row>
    <row r="190" ht="15" customHeight="1" s="125">
      <c r="A190" s="166" t="inlineStr">
        <is>
          <t>Annual customer attrition mean (includes PoV drop-off)</t>
        </is>
      </c>
      <c r="B190" s="167" t="inlineStr">
        <is>
          <t>38.7%</t>
        </is>
      </c>
      <c r="C190" s="172" t="n"/>
      <c r="D190" s="172" t="inlineStr">
        <is>
          <t>Exploratory v4 assumption: includes early-stage PoV drop-off and trial attrition; not comparable to mature full-contract logo churn.</t>
        </is>
      </c>
      <c r="E190" s="168" t="inlineStr">
        <is>
          <t>Conservative: includes early-stage trial churn. Stabilises to 7-10% for full contracts.</t>
        </is>
      </c>
    </row>
    <row r="191" ht="15" customHeight="1" s="125">
      <c r="A191" s="169" t="inlineStr">
        <is>
          <t>Conversion mean (demo→full)</t>
        </is>
      </c>
      <c r="B191" s="170" t="inlineStr">
        <is>
          <t>61.5%</t>
        </is>
      </c>
      <c r="C191" s="173" t="n"/>
      <c r="D191" s="173" t="n"/>
      <c r="E191" s="171" t="inlineStr">
        <is>
          <t>Combined demo→PoV→full pipeline</t>
        </is>
      </c>
    </row>
    <row r="192" ht="15" customHeight="1" s="125">
      <c r="A192" s="166" t="inlineStr">
        <is>
          <t>Expansion probability (annual)</t>
        </is>
      </c>
      <c r="B192" s="167" t="inlineStr">
        <is>
          <t>20%</t>
        </is>
      </c>
      <c r="C192" s="172" t="n"/>
      <c r="D192" s="172" t="n"/>
      <c r="E192" s="168" t="inlineStr">
        <is>
          <t>Group rollouts + tier upgrades</t>
        </is>
      </c>
    </row>
    <row r="193" ht="15" customHeight="1" s="125">
      <c r="A193" s="169" t="inlineStr">
        <is>
          <t>Network lambda phase 1 (M1-6)</t>
        </is>
      </c>
      <c r="B193" s="170" t="inlineStr">
        <is>
          <t>3.5</t>
        </is>
      </c>
      <c r="C193" s="173" t="n"/>
      <c r="D193" s="173" t="n"/>
      <c r="E193" s="171" t="inlineStr">
        <is>
          <t>Warm intros/month from Marco+Amedeo</t>
        </is>
      </c>
    </row>
    <row r="194" ht="15" customHeight="1" s="125">
      <c r="A194" s="166" t="inlineStr">
        <is>
          <t>Network lambda phase 2 (M7-12)</t>
        </is>
      </c>
      <c r="B194" s="167" t="inlineStr">
        <is>
          <t>3.0</t>
        </is>
      </c>
      <c r="C194" s="172" t="n"/>
      <c r="D194" s="172" t="n"/>
      <c r="E194" s="168" t="inlineStr">
        <is>
          <t>Steady network referrals</t>
        </is>
      </c>
    </row>
    <row r="195" ht="15" customHeight="1" s="125">
      <c r="A195" s="169" t="inlineStr">
        <is>
          <t>Direct lambda phase 2 (M7-12)</t>
        </is>
      </c>
      <c r="B195" s="170" t="inlineStr">
        <is>
          <t>1.0</t>
        </is>
      </c>
      <c r="C195" s="173" t="n"/>
      <c r="D195" s="173" t="n"/>
      <c r="E195" s="171" t="inlineStr">
        <is>
          <t>Inbound from early marketing</t>
        </is>
      </c>
    </row>
    <row r="196" ht="15" customHeight="1" s="125">
      <c r="A196" s="166" t="inlineStr">
        <is>
          <t>PLG start month</t>
        </is>
      </c>
      <c r="B196" s="167" t="inlineStr">
        <is>
          <t>18</t>
        </is>
      </c>
      <c r="C196" s="172" t="n"/>
      <c r="D196" s="172" t="n"/>
      <c r="E196" s="168" t="inlineStr">
        <is>
          <t>Product-led growth channel begins</t>
        </is>
      </c>
    </row>
    <row r="197" ht="15" customHeight="1" s="125">
      <c r="A197" s="169" t="inlineStr">
        <is>
          <t>Channel partner start month</t>
        </is>
      </c>
      <c r="B197" s="170" t="inlineStr">
        <is>
          <t>24</t>
        </is>
      </c>
      <c r="C197" s="173" t="n"/>
      <c r="D197" s="173" t="n"/>
      <c r="E197" s="171" t="inlineStr">
        <is>
          <t>Technology partner / reseller referrals</t>
        </is>
      </c>
    </row>
    <row r="198" ht="15" customHeight="1" s="125">
      <c r="A198" s="166" t="inlineStr">
        <is>
          <t>Inbound start month</t>
        </is>
      </c>
      <c r="B198" s="167" t="inlineStr">
        <is>
          <t>12</t>
        </is>
      </c>
      <c r="C198" s="172" t="n"/>
      <c r="D198" s="172" t="n"/>
      <c r="E198" s="168" t="inlineStr">
        <is>
          <t>Content/SEO-driven inbound</t>
        </is>
      </c>
    </row>
    <row r="199" ht="15" customHeight="1" s="125">
      <c r="A199" s="169" t="inlineStr">
        <is>
          <t>Founder salary (EUR/mo)</t>
        </is>
      </c>
      <c r="B199" s="170" t="n">
        <v>4396</v>
      </c>
      <c r="C199" s="173" t="n"/>
      <c r="D199" s="173" t="inlineStr">
        <is>
          <t>CHF 4,000 ≈ EUR 4,396 at 0.91 CHF/EUR</t>
        </is>
      </c>
      <c r="E199" s="171" t="inlineStr">
        <is>
          <t>Keep aligned with founder salary narrative in the canonical plan.</t>
        </is>
      </c>
    </row>
    <row r="200" ht="15" customHeight="1" s="125">
      <c r="A200" s="166" t="inlineStr">
        <is>
          <t>Marketing pre-breakeven (EUR/mo)</t>
        </is>
      </c>
      <c r="B200" s="167" t="inlineStr">
        <is>
          <t>1,750</t>
        </is>
      </c>
      <c r="C200" s="172" t="n"/>
      <c r="D200" s="172" t="n"/>
      <c r="E200" s="168" t="inlineStr">
        <is>
          <t>Matches phased budget above</t>
        </is>
      </c>
    </row>
    <row r="201" ht="15" customHeight="1" s="125">
      <c r="A201" s="169" t="inlineStr">
        <is>
          <t>Marketing post-breakeven (EUR/mo)</t>
        </is>
      </c>
      <c r="B201" s="170" t="inlineStr">
        <is>
          <t>4,000</t>
        </is>
      </c>
      <c r="C201" s="173" t="n"/>
      <c r="D201" s="173" t="n"/>
      <c r="E201" s="171" t="inlineStr">
        <is>
          <t>Matches phased budget above</t>
        </is>
      </c>
    </row>
    <row r="202" ht="15" customHeight="1" s="125">
      <c r="A202" s="166" t="inlineStr">
        <is>
          <t>COGS per hotel (EUR/mo)</t>
        </is>
      </c>
      <c r="B202" s="167" t="inlineStr">
        <is>
          <t>25</t>
        </is>
      </c>
      <c r="C202" s="172" t="n"/>
      <c r="D202" s="172" t="n"/>
      <c r="E202" s="168" t="inlineStr">
        <is>
          <t>AI API costs + infrastructure per hotel</t>
        </is>
      </c>
    </row>
    <row r="203" ht="15" customHeight="1" s="125">
      <c r="A203" s="169" t="inlineStr">
        <is>
          <t>CS hire month</t>
        </is>
      </c>
      <c r="B203" s="170" t="inlineStr">
        <is>
          <t>12</t>
        </is>
      </c>
      <c r="C203" s="173" t="n"/>
      <c r="D203" s="173" t="n"/>
      <c r="E203" s="171" t="inlineStr">
        <is>
          <t>First customer success hire</t>
        </is>
      </c>
    </row>
    <row r="204" ht="15" customHeight="1" s="125">
      <c r="A204" s="166" t="inlineStr">
        <is>
          <t>CTO hire month</t>
        </is>
      </c>
      <c r="B204" s="167" t="inlineStr">
        <is>
          <t>12</t>
        </is>
      </c>
      <c r="C204" s="172" t="n"/>
      <c r="D204" s="172" t="n"/>
      <c r="E204" s="168" t="inlineStr">
        <is>
          <t>Technical co-founder / first eng hire</t>
        </is>
      </c>
    </row>
    <row r="206" ht="15" customHeight="1" s="125">
      <c r="A206" s="163" t="inlineStr">
        <is>
          <t>MARKET VALIDATION — SYNTHETIC BUYER RESEARCH SUMMARY</t>
        </is>
      </c>
      <c r="B206" s="164" t="n"/>
      <c r="C206" s="164" t="n"/>
      <c r="D206" s="164" t="n"/>
      <c r="E206" s="164" t="n"/>
      <c r="F206" s="164" t="n"/>
      <c r="G206" s="164" t="n"/>
    </row>
    <row r="208" ht="15" customHeight="1" s="125">
      <c r="A208" s="157" t="inlineStr">
        <is>
          <t>Dataset: 272 Swiss premium hotels (4-5★), triple-replicated LLM interviews, adversarial validation, judge normalization</t>
        </is>
      </c>
    </row>
    <row r="209" ht="15" customHeight="1" s="125">
      <c r="A209" s="157" t="inlineStr">
        <is>
          <t>Source: hotelleriesuisse member directory, enriched with star rating, group affiliation, location tier, segment classification</t>
        </is>
      </c>
    </row>
    <row r="211" ht="15" customHeight="1" s="125">
      <c r="A211" s="165" t="inlineStr">
        <is>
          <t>Metric</t>
        </is>
      </c>
      <c r="B211" s="165" t="inlineStr">
        <is>
          <t>Value</t>
        </is>
      </c>
      <c r="C211" s="165" t="n"/>
      <c r="D211" s="165" t="n"/>
      <c r="E211" s="165" t="inlineStr">
        <is>
          <t>Business Plan Implication</t>
        </is>
      </c>
    </row>
    <row r="212" ht="15" customHeight="1" s="125">
      <c r="A212" s="166" t="inlineStr">
        <is>
          <t>Swiss premium TAM</t>
        </is>
      </c>
      <c r="B212" s="174" t="inlineStr">
        <is>
          <t>272 hotels (4-5★)</t>
        </is>
      </c>
      <c r="C212" s="172" t="n"/>
      <c r="D212" s="172" t="n"/>
      <c r="E212" s="168" t="inlineStr">
        <is>
          <t>Total addressable in Switzerland</t>
        </is>
      </c>
    </row>
    <row r="213" ht="15" customHeight="1" s="125">
      <c r="A213" s="169" t="inlineStr">
        <is>
          <t>Buy likelihood @ CHF 3,000/mo</t>
        </is>
      </c>
      <c r="B213" s="175" t="inlineStr">
        <is>
          <t>37%</t>
        </is>
      </c>
      <c r="C213" s="173" t="n"/>
      <c r="D213" s="173" t="n"/>
      <c r="E213" s="171" t="inlineStr">
        <is>
          <t>~100 hotels × CHF 3K = CHF 3.6M ARR potential</t>
        </is>
      </c>
    </row>
    <row r="214" ht="15" customHeight="1" s="125">
      <c r="A214" s="166" t="inlineStr">
        <is>
          <t>Buy likelihood @ CHF 5,000/mo</t>
        </is>
      </c>
      <c r="B214" s="174" t="inlineStr">
        <is>
          <t>15%</t>
        </is>
      </c>
      <c r="C214" s="172" t="n"/>
      <c r="D214" s="172" t="n"/>
      <c r="E214" s="168" t="inlineStr">
        <is>
          <t>Enterprise tier for luxury chains</t>
        </is>
      </c>
    </row>
    <row r="215" ht="15" customHeight="1" s="125">
      <c r="A215" s="169" t="inlineStr">
        <is>
          <t>Top segment: Business &amp; Conference</t>
        </is>
      </c>
      <c r="B215" s="175" t="inlineStr">
        <is>
          <t>40% buy@3K</t>
        </is>
      </c>
      <c r="C215" s="173" t="n"/>
      <c r="D215" s="173" t="n"/>
      <c r="E215" s="171" t="inlineStr">
        <is>
          <t>Primary ICP — prioritise outreach</t>
        </is>
      </c>
    </row>
    <row r="216" ht="15" customHeight="1" s="125">
      <c r="A216" s="166" t="inlineStr">
        <is>
          <t>Top segment: Luxury</t>
        </is>
      </c>
      <c r="B216" s="174" t="inlineStr">
        <is>
          <t>40% buy@3K</t>
        </is>
      </c>
      <c r="C216" s="172" t="n"/>
      <c r="D216" s="172" t="n"/>
      <c r="E216" s="168" t="inlineStr">
        <is>
          <t>Co-primary ICP</t>
        </is>
      </c>
    </row>
    <row r="217" ht="15" customHeight="1" s="125">
      <c r="A217" s="169" t="inlineStr">
        <is>
          <t>Delay risk (wait 12-24 mo)</t>
        </is>
      </c>
      <c r="B217" s="175" t="inlineStr">
        <is>
          <t>67%</t>
        </is>
      </c>
      <c r="C217" s="173" t="n"/>
      <c r="D217" s="173" t="n"/>
      <c r="E217" s="171" t="inlineStr">
        <is>
          <t>Mitigated by 60-day PoV + urgency framing</t>
        </is>
      </c>
    </row>
    <row r="218" ht="15" customHeight="1" s="125">
      <c r="A218" s="166" t="inlineStr">
        <is>
          <t>#1 Deal killer: No PMS/CRM integration</t>
        </is>
      </c>
      <c r="B218" s="174" t="inlineStr">
        <is>
          <t>79% of hotels</t>
        </is>
      </c>
      <c r="C218" s="172" t="n"/>
      <c r="D218" s="172" t="n"/>
      <c r="E218" s="168" t="inlineStr">
        <is>
          <t>Must have Opera/Mews/Protel connectors at launch</t>
        </is>
      </c>
    </row>
    <row r="219" ht="15" customHeight="1" s="125">
      <c r="A219" s="169" t="inlineStr">
        <is>
          <t>#2 Deal killer: Cannot prove ROI</t>
        </is>
      </c>
      <c r="B219" s="175" t="inlineStr">
        <is>
          <t>15% of hotels</t>
        </is>
      </c>
      <c r="C219" s="173" t="n"/>
      <c r="D219" s="173" t="n"/>
      <c r="E219" s="171" t="inlineStr">
        <is>
          <t>ROI dashboard + Swiss reference cases required</t>
        </is>
      </c>
    </row>
    <row r="220" ht="15" customHeight="1" s="125">
      <c r="A220" s="166" t="inlineStr">
        <is>
          <t>Top proof: PMS/CRM integration</t>
        </is>
      </c>
      <c r="B220" s="174" t="inlineStr">
        <is>
          <t>Score 1,089</t>
        </is>
      </c>
      <c r="C220" s="172" t="n"/>
      <c r="D220" s="172" t="n"/>
      <c r="E220" s="168" t="inlineStr">
        <is>
          <t>Highest-priority development item</t>
        </is>
      </c>
    </row>
    <row r="221" ht="15" customHeight="1" s="125">
      <c r="A221" s="169" t="inlineStr">
        <is>
          <t>Top proof: Swiss hotel references</t>
        </is>
      </c>
      <c r="B221" s="175" t="inlineStr">
        <is>
          <t>Score 752</t>
        </is>
      </c>
      <c r="C221" s="173" t="n"/>
      <c r="D221" s="173" t="n"/>
      <c r="E221" s="171" t="inlineStr">
        <is>
          <t>2-3 reference cases by month 6</t>
        </is>
      </c>
    </row>
    <row r="222" ht="15" customHeight="1" s="125">
      <c r="A222" s="166" t="inlineStr">
        <is>
          <t>Top proof: 60-day pilot programme</t>
        </is>
      </c>
      <c r="B222" s="174" t="inlineStr">
        <is>
          <t>Score 642</t>
        </is>
      </c>
      <c r="C222" s="172" t="n"/>
      <c r="D222" s="172" t="n"/>
      <c r="E222" s="168" t="inlineStr">
        <is>
          <t>Concierge MVP approach validates this</t>
        </is>
      </c>
    </row>
    <row r="223" ht="15" customHeight="1" s="125">
      <c r="A223" s="169" t="inlineStr">
        <is>
          <t>European TAM (4-5★)</t>
        </is>
      </c>
      <c r="B223" s="175" t="inlineStr">
        <is>
          <t>23,000-25,000 hotels</t>
        </is>
      </c>
      <c r="C223" s="173" t="n"/>
      <c r="D223" s="173" t="n"/>
      <c r="E223" s="171" t="inlineStr">
        <is>
          <t>5-year expansion target</t>
        </is>
      </c>
    </row>
    <row r="224" ht="15" customHeight="1" s="125">
      <c r="A224" s="166" t="inlineStr">
        <is>
          <t>Serviceable European TAM</t>
        </is>
      </c>
      <c r="B224" s="174" t="inlineStr">
        <is>
          <t>10,000-12,000 hotels</t>
        </is>
      </c>
      <c r="C224" s="172" t="n"/>
      <c r="D224" s="172" t="n"/>
      <c r="E224" s="168" t="inlineStr">
        <is>
          <t>English/German/French/Italian markets</t>
        </is>
      </c>
    </row>
    <row r="225" ht="15" customHeight="1" s="125">
      <c r="A225" s="169" t="inlineStr">
        <is>
          <t>Realistic 5yr Europe reach</t>
        </is>
      </c>
      <c r="B225" s="175" t="inlineStr">
        <is>
          <t>400-550 hotels</t>
        </is>
      </c>
      <c r="C225" s="173" t="n"/>
      <c r="D225" s="173" t="n"/>
      <c r="E225" s="171" t="inlineStr">
        <is>
          <t>CHF 10-16M ARR at scale</t>
        </is>
      </c>
    </row>
    <row r="227" ht="15" customHeight="1" s="125">
      <c r="A227" s="176" t="inlineStr">
        <is>
          <t>Methodology caveat</t>
        </is>
      </c>
    </row>
    <row r="228" ht="39.75" customHeight="1" s="125">
      <c r="A228" s="177" t="inlineStr">
        <is>
          <t>Synthetic buyer research uses LLM-simulated hotel GM interviews (gpt-5-mini generation, gpt-5 judge normalization). Directionally reliable for segment-level patterns and proof-package prioritisation. Individual hotel predictions should not be treated as confirmed purchase intent. Recommend validating top-10 targets with real conversations within 60 days.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124" min="1" max="1"/>
    <col width="14" customWidth="1" style="124" min="2" max="11"/>
  </cols>
  <sheetData>
    <row r="1" ht="27.75" customHeight="1" s="125">
      <c r="A1" s="126" t="inlineStr">
        <is>
          <t>TERCIER — 3-Stage P&amp;L Drill-Down</t>
        </is>
      </c>
      <c r="B1" s="127" t="n"/>
      <c r="C1" s="127" t="n"/>
      <c r="D1" s="127" t="n"/>
      <c r="E1" s="127" t="n"/>
      <c r="F1" s="127" t="n"/>
      <c r="G1" s="127" t="n"/>
      <c r="H1" s="127" t="n"/>
      <c r="I1" s="127" t="n"/>
      <c r="J1" s="127" t="n"/>
      <c r="K1" s="127" t="n"/>
      <c r="L1" s="127" t="n"/>
      <c r="M1" s="127" t="n"/>
    </row>
    <row r="2" ht="18" customHeight="1" s="125">
      <c r="A2" s="128" t="inlineStr">
        <is>
          <t>All formulas reference Assumptions sheet. Blue = input overrides. Black = formula. | Stage A = month 6 snapshot, Stage B = month 18, Stage C = month 36.</t>
        </is>
      </c>
      <c r="B2" s="127" t="n"/>
      <c r="C2" s="127" t="n"/>
      <c r="D2" s="127" t="n"/>
      <c r="E2" s="127" t="n"/>
      <c r="F2" s="127" t="n"/>
      <c r="G2" s="127" t="n"/>
      <c r="H2" s="127" t="n"/>
      <c r="I2" s="127" t="n"/>
      <c r="J2" s="127" t="n"/>
      <c r="K2" s="127" t="n"/>
      <c r="L2" s="127" t="n"/>
      <c r="M2" s="127" t="n"/>
    </row>
    <row r="3" ht="15" customHeight="1" s="125">
      <c r="A3" s="127" t="n"/>
      <c r="B3" s="127" t="n"/>
      <c r="C3" s="127" t="n"/>
      <c r="D3" s="127" t="n"/>
      <c r="E3" s="127" t="n"/>
      <c r="F3" s="127" t="n"/>
      <c r="G3" s="127" t="n"/>
      <c r="H3" s="127" t="n"/>
      <c r="I3" s="127" t="n"/>
      <c r="J3" s="127" t="n"/>
      <c r="K3" s="127" t="n"/>
      <c r="L3" s="127" t="n"/>
      <c r="M3" s="127" t="n"/>
    </row>
    <row r="4" ht="19.5" customHeight="1" s="125">
      <c r="A4" s="178" t="n"/>
      <c r="B4" s="132" t="inlineStr">
        <is>
          <t>Stage A</t>
        </is>
      </c>
      <c r="C4" s="132" t="inlineStr">
        <is>
          <t>%</t>
        </is>
      </c>
      <c r="D4" s="132" t="inlineStr">
        <is>
          <t>Stage B (Low)</t>
        </is>
      </c>
      <c r="E4" s="132" t="inlineStr">
        <is>
          <t>%</t>
        </is>
      </c>
      <c r="F4" s="132" t="inlineStr">
        <is>
          <t>Stage B (High)</t>
        </is>
      </c>
      <c r="G4" s="132" t="inlineStr">
        <is>
          <t>%</t>
        </is>
      </c>
      <c r="H4" s="132" t="inlineStr">
        <is>
          <t>Stage C (Low)</t>
        </is>
      </c>
      <c r="I4" s="132" t="inlineStr">
        <is>
          <t>%</t>
        </is>
      </c>
      <c r="J4" s="132" t="inlineStr">
        <is>
          <t>Stage C (High)</t>
        </is>
      </c>
      <c r="K4" s="132" t="inlineStr">
        <is>
          <t>%</t>
        </is>
      </c>
      <c r="L4" s="127" t="n"/>
      <c r="M4" s="127" t="n"/>
    </row>
    <row r="5" ht="19.5" customHeight="1" s="125">
      <c r="A5" s="134" t="inlineStr">
        <is>
          <t>Hotels</t>
        </is>
      </c>
      <c r="B5" s="147" t="n">
        <v>5</v>
      </c>
      <c r="C5" s="127" t="n"/>
      <c r="D5" s="147" t="n">
        <v>25</v>
      </c>
      <c r="E5" s="127" t="n"/>
      <c r="F5" s="147" t="n">
        <v>25</v>
      </c>
      <c r="G5" s="127" t="n"/>
      <c r="H5" s="147" t="n">
        <v>100</v>
      </c>
      <c r="I5" s="127" t="n"/>
      <c r="J5" s="147" t="n">
        <v>100</v>
      </c>
      <c r="K5" s="127" t="n"/>
      <c r="L5" s="127" t="n"/>
      <c r="M5" s="127" t="n"/>
    </row>
    <row r="6" ht="19.5" customHeight="1" s="125">
      <c r="A6" s="138" t="inlineStr">
        <is>
          <t>Avg ACV (EUR/mo)</t>
        </is>
      </c>
      <c r="B6" s="137" t="n">
        <v>1250</v>
      </c>
      <c r="C6" s="127" t="n"/>
      <c r="D6" s="137" t="n">
        <v>2000</v>
      </c>
      <c r="E6" s="127" t="n"/>
      <c r="F6" s="137" t="n">
        <v>2000</v>
      </c>
      <c r="G6" s="127" t="n"/>
      <c r="H6" s="137" t="n">
        <v>2500</v>
      </c>
      <c r="I6" s="127" t="n"/>
      <c r="J6" s="137" t="n">
        <v>2500</v>
      </c>
      <c r="K6" s="127" t="n"/>
      <c r="L6" s="127" t="n"/>
      <c r="M6" s="127" t="n"/>
    </row>
    <row r="7" ht="19.5" customHeight="1" s="125">
      <c r="A7" s="134" t="inlineStr">
        <is>
          <t>Team size</t>
        </is>
      </c>
      <c r="B7" s="147" t="n">
        <v>1</v>
      </c>
      <c r="C7" s="127" t="n"/>
      <c r="D7" s="147" t="n">
        <v>3</v>
      </c>
      <c r="E7" s="127" t="n"/>
      <c r="F7" s="147" t="n">
        <v>3</v>
      </c>
      <c r="G7" s="127" t="n"/>
      <c r="H7" s="147" t="n">
        <v>8</v>
      </c>
      <c r="I7" s="127" t="n"/>
      <c r="J7" s="147" t="n">
        <v>8</v>
      </c>
      <c r="K7" s="127" t="n"/>
      <c r="L7" s="127" t="n"/>
      <c r="M7" s="127" t="n"/>
    </row>
    <row r="8" ht="15" customHeight="1" s="125">
      <c r="A8" s="127" t="n"/>
      <c r="B8" s="127" t="n"/>
      <c r="C8" s="127" t="n"/>
      <c r="D8" s="127" t="n"/>
      <c r="E8" s="127" t="n"/>
      <c r="F8" s="127" t="n"/>
      <c r="G8" s="127" t="n"/>
      <c r="H8" s="127" t="n"/>
      <c r="I8" s="127" t="n"/>
      <c r="J8" s="127" t="n"/>
      <c r="K8" s="127" t="n"/>
      <c r="L8" s="127" t="n"/>
      <c r="M8" s="127" t="n"/>
    </row>
    <row r="9" ht="24" customHeight="1" s="125">
      <c r="A9" s="129" t="inlineStr">
        <is>
          <t>REVENUE</t>
        </is>
      </c>
      <c r="B9" s="130" t="n"/>
      <c r="C9" s="130" t="n"/>
      <c r="D9" s="130" t="n"/>
      <c r="E9" s="130" t="n"/>
      <c r="F9" s="130" t="n"/>
      <c r="G9" s="130" t="n"/>
      <c r="H9" s="130" t="n"/>
      <c r="I9" s="130" t="n"/>
      <c r="J9" s="130" t="n"/>
      <c r="K9" s="130" t="n"/>
      <c r="L9" s="130" t="n"/>
      <c r="M9" s="130" t="n"/>
    </row>
    <row r="10" ht="19.5" customHeight="1" s="125">
      <c r="A10" s="134" t="inlineStr">
        <is>
          <t>Monthly revenue (Hotels × ACV)</t>
        </is>
      </c>
      <c r="B10" s="143">
        <f>B5*B6</f>
        <v/>
      </c>
      <c r="C10" s="179" t="n">
        <v>1</v>
      </c>
      <c r="D10" s="143">
        <f>D5*D6</f>
        <v/>
      </c>
      <c r="E10" s="179" t="n">
        <v>1</v>
      </c>
      <c r="F10" s="143">
        <f>F5*F6</f>
        <v/>
      </c>
      <c r="G10" s="179" t="n">
        <v>1</v>
      </c>
      <c r="H10" s="143">
        <f>H5*H6</f>
        <v/>
      </c>
      <c r="I10" s="179" t="n">
        <v>1</v>
      </c>
      <c r="J10" s="143">
        <f>J5*J6</f>
        <v/>
      </c>
      <c r="K10" s="179" t="n">
        <v>1</v>
      </c>
      <c r="L10" s="127" t="n"/>
      <c r="M10" s="127" t="n"/>
    </row>
    <row r="11" ht="24" customHeight="1" s="125">
      <c r="A11" s="129" t="inlineStr">
        <is>
          <t>COGS</t>
        </is>
      </c>
      <c r="B11" s="130" t="n"/>
      <c r="C11" s="130" t="n"/>
      <c r="D11" s="130" t="n"/>
      <c r="E11" s="130" t="n"/>
      <c r="F11" s="130" t="n"/>
      <c r="G11" s="130" t="n"/>
      <c r="H11" s="130" t="n"/>
      <c r="I11" s="130" t="n"/>
      <c r="J11" s="130" t="n"/>
      <c r="K11" s="130" t="n"/>
      <c r="L11" s="130" t="n"/>
      <c r="M11" s="130" t="n"/>
    </row>
    <row r="12" ht="19.5" customHeight="1" s="125">
      <c r="A12" s="134" t="inlineStr">
        <is>
          <t>Per-customer COGS (LLM + data + APIs)</t>
        </is>
      </c>
      <c r="B12" s="137" t="n">
        <v>100</v>
      </c>
      <c r="C12" s="179">
        <f>B12/B10</f>
        <v/>
      </c>
      <c r="D12" s="137" t="n">
        <v>625</v>
      </c>
      <c r="E12" s="179">
        <f>D12/D10</f>
        <v/>
      </c>
      <c r="F12" s="137" t="n">
        <v>625</v>
      </c>
      <c r="G12" s="179">
        <f>F12/F10</f>
        <v/>
      </c>
      <c r="H12" s="137" t="n">
        <v>2500</v>
      </c>
      <c r="I12" s="179">
        <f>H12/H10</f>
        <v/>
      </c>
      <c r="J12" s="137" t="n">
        <v>2500</v>
      </c>
      <c r="K12" s="179">
        <f>J12/J10</f>
        <v/>
      </c>
      <c r="L12" s="127" t="n"/>
      <c r="M12" s="127" t="n"/>
    </row>
    <row r="13" ht="19.5" customHeight="1" s="125">
      <c r="A13" s="138" t="inlineStr">
        <is>
          <t>Payment processing (Stripe)</t>
        </is>
      </c>
      <c r="B13" s="144">
        <f>B10*0.03</f>
        <v/>
      </c>
      <c r="C13" s="145" t="n">
        <v>0.03</v>
      </c>
      <c r="D13" s="144">
        <f>D10*0.03</f>
        <v/>
      </c>
      <c r="E13" s="145" t="n">
        <v>0.03</v>
      </c>
      <c r="F13" s="144">
        <f>F10*0.03</f>
        <v/>
      </c>
      <c r="G13" s="145" t="n">
        <v>0.03</v>
      </c>
      <c r="H13" s="144">
        <f>H10*0.025</f>
        <v/>
      </c>
      <c r="I13" s="145" t="n">
        <v>0.025</v>
      </c>
      <c r="J13" s="144">
        <f>J10*0.025</f>
        <v/>
      </c>
      <c r="K13" s="145" t="n">
        <v>0.025</v>
      </c>
      <c r="L13" s="127" t="n"/>
      <c r="M13" s="127" t="n"/>
    </row>
    <row r="14" ht="19.5" customHeight="1" s="125">
      <c r="A14" s="134" t="inlineStr">
        <is>
          <t>Fixed infrastructure</t>
        </is>
      </c>
      <c r="B14" s="137" t="n">
        <v>100</v>
      </c>
      <c r="C14" s="179">
        <f>B14/B10</f>
        <v/>
      </c>
      <c r="D14" s="137" t="n">
        <v>500</v>
      </c>
      <c r="E14" s="179">
        <f>D14/D10</f>
        <v/>
      </c>
      <c r="F14" s="137" t="n">
        <v>500</v>
      </c>
      <c r="G14" s="179">
        <f>F14/F10</f>
        <v/>
      </c>
      <c r="H14" s="137" t="n">
        <v>1200</v>
      </c>
      <c r="I14" s="179">
        <f>H14/H10</f>
        <v/>
      </c>
      <c r="J14" s="137" t="n">
        <v>1200</v>
      </c>
      <c r="K14" s="179">
        <f>J14/J10</f>
        <v/>
      </c>
      <c r="L14" s="127" t="n"/>
      <c r="M14" s="127" t="n"/>
    </row>
    <row r="15" ht="19.5" customHeight="1" s="125">
      <c r="A15" s="138" t="inlineStr">
        <is>
          <t>AI dev tooling</t>
        </is>
      </c>
      <c r="B15" s="137" t="n">
        <v>500</v>
      </c>
      <c r="C15" s="145">
        <f>B15/B10</f>
        <v/>
      </c>
      <c r="D15" s="137" t="n">
        <v>600</v>
      </c>
      <c r="E15" s="145">
        <f>D15/D10</f>
        <v/>
      </c>
      <c r="F15" s="137" t="n">
        <v>600</v>
      </c>
      <c r="G15" s="145">
        <f>F15/F10</f>
        <v/>
      </c>
      <c r="H15" s="137" t="n">
        <v>600</v>
      </c>
      <c r="I15" s="145">
        <f>H15/H10</f>
        <v/>
      </c>
      <c r="J15" s="137" t="n">
        <v>600</v>
      </c>
      <c r="K15" s="145">
        <f>J15/J10</f>
        <v/>
      </c>
      <c r="L15" s="127" t="n"/>
      <c r="M15" s="127" t="n"/>
    </row>
    <row r="16" ht="19.5" customHeight="1" s="125">
      <c r="A16" s="134" t="inlineStr">
        <is>
          <t>SaaS tools</t>
        </is>
      </c>
      <c r="B16" s="137" t="n">
        <v>50</v>
      </c>
      <c r="C16" s="179">
        <f>B16/B10</f>
        <v/>
      </c>
      <c r="D16" s="137" t="n">
        <v>100</v>
      </c>
      <c r="E16" s="179">
        <f>D16/D10</f>
        <v/>
      </c>
      <c r="F16" s="137" t="n">
        <v>100</v>
      </c>
      <c r="G16" s="179">
        <f>F16/F10</f>
        <v/>
      </c>
      <c r="H16" s="137" t="n">
        <v>200</v>
      </c>
      <c r="I16" s="179">
        <f>H16/H10</f>
        <v/>
      </c>
      <c r="J16" s="137" t="n">
        <v>200</v>
      </c>
      <c r="K16" s="179">
        <f>J16/J10</f>
        <v/>
      </c>
      <c r="L16" s="127" t="n"/>
      <c r="M16" s="127" t="n"/>
    </row>
    <row r="17" ht="19.5" customHeight="1" s="125">
      <c r="A17" s="138" t="inlineStr">
        <is>
          <t>Admin/overhead (Swiss AG)</t>
        </is>
      </c>
      <c r="B17" s="137" t="n">
        <v>2000</v>
      </c>
      <c r="C17" s="145">
        <f>B17/B10</f>
        <v/>
      </c>
      <c r="D17" s="137" t="n">
        <v>2250</v>
      </c>
      <c r="E17" s="145">
        <f>D17/D10</f>
        <v/>
      </c>
      <c r="F17" s="137" t="n">
        <v>2250</v>
      </c>
      <c r="G17" s="145">
        <f>F17/F10</f>
        <v/>
      </c>
      <c r="H17" s="137" t="n">
        <v>2250</v>
      </c>
      <c r="I17" s="145">
        <f>H17/H10</f>
        <v/>
      </c>
      <c r="J17" s="137" t="n">
        <v>2250</v>
      </c>
      <c r="K17" s="145">
        <f>J17/J10</f>
        <v/>
      </c>
      <c r="L17" s="127" t="n"/>
      <c r="M17" s="127" t="n"/>
    </row>
    <row r="18" ht="19.5" customHeight="1" s="125">
      <c r="A18" s="134" t="inlineStr">
        <is>
          <t>Founder salary</t>
        </is>
      </c>
      <c r="B18" s="137">
        <f>Assumptions!B74/(12*Assumptions!$B$6)</f>
        <v/>
      </c>
      <c r="C18" s="179">
        <f>B18/B10</f>
        <v/>
      </c>
      <c r="D18" s="137">
        <f>Assumptions!B74/(12*Assumptions!$B$6)</f>
        <v/>
      </c>
      <c r="E18" s="179">
        <f>D18/D10</f>
        <v/>
      </c>
      <c r="F18" s="137">
        <f>Assumptions!B74/(12*Assumptions!$B$6)</f>
        <v/>
      </c>
      <c r="G18" s="179">
        <f>F18/F10</f>
        <v/>
      </c>
      <c r="H18" s="137" t="n">
        <v>6000</v>
      </c>
      <c r="I18" s="179">
        <f>H18/H10</f>
        <v/>
      </c>
      <c r="J18" s="137" t="n">
        <v>8000</v>
      </c>
      <c r="K18" s="179">
        <f>J18/J10</f>
        <v/>
      </c>
      <c r="L18" s="127" t="n"/>
      <c r="M18" s="127" t="n"/>
    </row>
    <row r="19" ht="19.5" customHeight="1" s="125">
      <c r="A19" s="138" t="inlineStr">
        <is>
          <t>Team hires</t>
        </is>
      </c>
      <c r="B19" s="137" t="n">
        <v>0</v>
      </c>
      <c r="C19" s="145">
        <f>B19/B10</f>
        <v/>
      </c>
      <c r="D19" s="137" t="n">
        <v>15000</v>
      </c>
      <c r="E19" s="145">
        <f>D19/D10</f>
        <v/>
      </c>
      <c r="F19" s="137" t="n">
        <v>22000</v>
      </c>
      <c r="G19" s="145">
        <f>F19/F10</f>
        <v/>
      </c>
      <c r="H19" s="137" t="n">
        <v>44000</v>
      </c>
      <c r="I19" s="145">
        <f>H19/H10</f>
        <v/>
      </c>
      <c r="J19" s="137" t="n">
        <v>65000</v>
      </c>
      <c r="K19" s="145">
        <f>J19/J10</f>
        <v/>
      </c>
      <c r="L19" s="127" t="n"/>
      <c r="M19" s="127" t="n"/>
    </row>
    <row r="20" ht="19.5" customHeight="1" s="125">
      <c r="A20" s="180" t="inlineStr">
        <is>
          <t>TOTAL COSTS</t>
        </is>
      </c>
      <c r="B20" s="181">
        <f>B12+B13+B14+B15+B16+B17+B18+B19</f>
        <v/>
      </c>
      <c r="C20" s="182">
        <f>B20/B10</f>
        <v/>
      </c>
      <c r="D20" s="181">
        <f>D12+D13+D14+D15+D16+D17+D18+D19</f>
        <v/>
      </c>
      <c r="E20" s="182">
        <f>D20/D10</f>
        <v/>
      </c>
      <c r="F20" s="181">
        <f>F12+F13+F14+F15+F16+F17+F18+F19</f>
        <v/>
      </c>
      <c r="G20" s="182">
        <f>F20/F10</f>
        <v/>
      </c>
      <c r="H20" s="181">
        <f>H12+H13+H14+H15+H16+H17+H18+H19</f>
        <v/>
      </c>
      <c r="I20" s="182">
        <f>H20/H10</f>
        <v/>
      </c>
      <c r="J20" s="181">
        <f>J12+J13+J14+J15+J16+J17+J18+J19</f>
        <v/>
      </c>
      <c r="K20" s="182">
        <f>J20/J10</f>
        <v/>
      </c>
      <c r="L20" s="127" t="n"/>
      <c r="M20" s="127" t="n"/>
    </row>
    <row r="21" ht="15" customHeight="1" s="125">
      <c r="A21" s="127" t="n"/>
      <c r="B21" s="127" t="n"/>
      <c r="C21" s="127" t="n"/>
      <c r="D21" s="127" t="n"/>
      <c r="E21" s="127" t="n"/>
      <c r="F21" s="127" t="n"/>
      <c r="G21" s="127" t="n"/>
      <c r="H21" s="127" t="n"/>
      <c r="I21" s="127" t="n"/>
      <c r="J21" s="127" t="n"/>
      <c r="K21" s="127" t="n"/>
      <c r="L21" s="127" t="n"/>
      <c r="M21" s="127" t="n"/>
    </row>
    <row r="22" ht="19.5" customHeight="1" s="125">
      <c r="A22" s="183" t="inlineStr">
        <is>
          <t>GROSS MARGIN (COGS only)</t>
        </is>
      </c>
      <c r="B22" s="184">
        <f>B10-B12-B13</f>
        <v/>
      </c>
      <c r="C22" s="185">
        <f>B22/B10</f>
        <v/>
      </c>
      <c r="D22" s="184">
        <f>D10-D12-D13</f>
        <v/>
      </c>
      <c r="E22" s="185">
        <f>D22/D10</f>
        <v/>
      </c>
      <c r="F22" s="184">
        <f>F10-F12-F13</f>
        <v/>
      </c>
      <c r="G22" s="185">
        <f>F22/F10</f>
        <v/>
      </c>
      <c r="H22" s="184">
        <f>H10-H12-H13</f>
        <v/>
      </c>
      <c r="I22" s="185">
        <f>H22/H10</f>
        <v/>
      </c>
      <c r="J22" s="184">
        <f>J10-J12-J13</f>
        <v/>
      </c>
      <c r="K22" s="185">
        <f>J22/J10</f>
        <v/>
      </c>
      <c r="L22" s="127" t="n"/>
      <c r="M22" s="127" t="n"/>
    </row>
    <row r="23" ht="19.5" customHeight="1" s="125">
      <c r="A23" s="183" t="inlineStr">
        <is>
          <t>OPERATING PROFIT / (LOSS)</t>
        </is>
      </c>
      <c r="B23" s="186">
        <f>B10-B20</f>
        <v/>
      </c>
      <c r="C23" s="185">
        <f>B23/B10</f>
        <v/>
      </c>
      <c r="D23" s="186">
        <f>D10-D20</f>
        <v/>
      </c>
      <c r="E23" s="185">
        <f>D23/D10</f>
        <v/>
      </c>
      <c r="F23" s="186">
        <f>F10-F20</f>
        <v/>
      </c>
      <c r="G23" s="185">
        <f>F23/F10</f>
        <v/>
      </c>
      <c r="H23" s="186">
        <f>H10-H20</f>
        <v/>
      </c>
      <c r="I23" s="185">
        <f>H23/H10</f>
        <v/>
      </c>
      <c r="J23" s="186">
        <f>J10-J20</f>
        <v/>
      </c>
      <c r="K23" s="185">
        <f>J23/J10</f>
        <v/>
      </c>
      <c r="L23" s="127" t="n"/>
      <c r="M23" s="127" t="n"/>
    </row>
    <row r="24" ht="15" customHeight="1" s="125">
      <c r="A24" s="127" t="n"/>
      <c r="B24" s="127" t="n"/>
      <c r="C24" s="127" t="n"/>
      <c r="D24" s="127" t="n"/>
      <c r="E24" s="127" t="n"/>
      <c r="F24" s="127" t="n"/>
      <c r="G24" s="127" t="n"/>
      <c r="H24" s="127" t="n"/>
      <c r="I24" s="127" t="n"/>
      <c r="J24" s="127" t="n"/>
      <c r="K24" s="127" t="n"/>
      <c r="L24" s="127" t="n"/>
      <c r="M24" s="127" t="n"/>
    </row>
    <row r="25" ht="24" customHeight="1" s="125">
      <c r="A25" s="129" t="inlineStr">
        <is>
          <t>BREAKEVEN ANALYSIS</t>
        </is>
      </c>
      <c r="B25" s="130" t="n"/>
      <c r="C25" s="130" t="n"/>
      <c r="D25" s="130" t="n"/>
      <c r="E25" s="130" t="n"/>
      <c r="F25" s="130" t="n"/>
      <c r="G25" s="130" t="n"/>
      <c r="H25" s="130" t="n"/>
      <c r="I25" s="130" t="n"/>
      <c r="J25" s="130" t="n"/>
      <c r="K25" s="130" t="n"/>
      <c r="L25" s="130" t="n"/>
      <c r="M25" s="130" t="n"/>
    </row>
    <row r="26" ht="19.5" customHeight="1" s="125">
      <c r="A26" s="134" t="inlineStr">
        <is>
          <t>Monthly fixed costs (solo founder)</t>
        </is>
      </c>
      <c r="B26" s="143">
        <f>B14+B15+B16+B17+B18</f>
        <v/>
      </c>
      <c r="C26" s="127" t="n"/>
      <c r="D26" s="136" t="inlineStr">
        <is>
          <t>Admin + tools + infra + SaaS + founder salary</t>
        </is>
      </c>
      <c r="E26" s="127" t="n"/>
      <c r="F26" s="127" t="n"/>
      <c r="G26" s="127" t="n"/>
      <c r="H26" s="127" t="n"/>
      <c r="I26" s="127" t="n"/>
      <c r="J26" s="127" t="n"/>
      <c r="K26" s="127" t="n"/>
      <c r="L26" s="127" t="n"/>
      <c r="M26" s="127" t="n"/>
    </row>
    <row r="27" ht="19.5" customHeight="1" s="125">
      <c r="A27" s="138" t="inlineStr">
        <is>
          <t>Breakeven hotels (PoV pricing EUR 1,250)</t>
        </is>
      </c>
      <c r="B27" s="187">
        <f>ROUNDUP(B26/1250,0)</f>
        <v/>
      </c>
      <c r="C27" s="127" t="n"/>
      <c r="D27" s="136" t="inlineStr">
        <is>
          <t>Fixed costs / EUR 1,250 per hotel</t>
        </is>
      </c>
      <c r="E27" s="127" t="n"/>
      <c r="F27" s="127" t="n"/>
      <c r="G27" s="127" t="n"/>
      <c r="H27" s="127" t="n"/>
      <c r="I27" s="127" t="n"/>
      <c r="J27" s="127" t="n"/>
      <c r="K27" s="127" t="n"/>
      <c r="L27" s="127" t="n"/>
      <c r="M27" s="127" t="n"/>
    </row>
    <row r="28" ht="19.5" customHeight="1" s="125">
      <c r="A28" s="134" t="inlineStr">
        <is>
          <t>Breakeven hotels (full pricing EUR 2,000)</t>
        </is>
      </c>
      <c r="B28" s="148">
        <f>ROUNDUP(B26/2000,0)</f>
        <v/>
      </c>
      <c r="C28" s="127" t="n"/>
      <c r="D28" s="136" t="inlineStr">
        <is>
          <t>Fixed costs / EUR 2,000 per hotel</t>
        </is>
      </c>
      <c r="E28" s="127" t="n"/>
      <c r="F28" s="127" t="n"/>
      <c r="G28" s="127" t="n"/>
      <c r="H28" s="127" t="n"/>
      <c r="I28" s="127" t="n"/>
      <c r="J28" s="127" t="n"/>
      <c r="K28" s="127" t="n"/>
      <c r="L28" s="127" t="n"/>
      <c r="M28" s="127" t="n"/>
    </row>
    <row r="29" ht="15" customHeight="1" s="125">
      <c r="A29" s="127" t="n"/>
      <c r="B29" s="127" t="n"/>
      <c r="C29" s="127" t="n"/>
      <c r="D29" s="127" t="n"/>
      <c r="E29" s="127" t="n"/>
      <c r="F29" s="127" t="n"/>
      <c r="G29" s="127" t="n"/>
      <c r="H29" s="127" t="n"/>
      <c r="I29" s="127" t="n"/>
      <c r="J29" s="127" t="n"/>
      <c r="K29" s="127" t="n"/>
      <c r="L29" s="127" t="n"/>
      <c r="M29" s="127" t="n"/>
    </row>
    <row r="30" ht="24" customHeight="1" s="125">
      <c r="A30" s="129" t="inlineStr">
        <is>
          <t>KEY METRICS</t>
        </is>
      </c>
      <c r="B30" s="130" t="n"/>
      <c r="C30" s="130" t="n"/>
      <c r="D30" s="130" t="n"/>
      <c r="E30" s="130" t="n"/>
      <c r="F30" s="130" t="n"/>
      <c r="G30" s="130" t="n"/>
      <c r="H30" s="130" t="n"/>
      <c r="I30" s="130" t="n"/>
      <c r="J30" s="130" t="n"/>
      <c r="K30" s="130" t="n"/>
      <c r="L30" s="130" t="n"/>
      <c r="M30" s="130" t="n"/>
    </row>
    <row r="31" ht="19.5" customHeight="1" s="125">
      <c r="A31" s="134" t="inlineStr">
        <is>
          <t>Annual revenue</t>
        </is>
      </c>
      <c r="B31" s="143">
        <f>B10*12</f>
        <v/>
      </c>
      <c r="C31" s="127" t="n"/>
      <c r="D31" s="143">
        <f>D10*12</f>
        <v/>
      </c>
      <c r="E31" s="127" t="n"/>
      <c r="F31" s="143">
        <f>F10*12</f>
        <v/>
      </c>
      <c r="G31" s="127" t="n"/>
      <c r="H31" s="143">
        <f>H10*12</f>
        <v/>
      </c>
      <c r="I31" s="127" t="n"/>
      <c r="J31" s="143">
        <f>J10*12</f>
        <v/>
      </c>
      <c r="K31" s="127" t="n"/>
      <c r="L31" s="127" t="n"/>
      <c r="M31" s="127" t="n"/>
    </row>
    <row r="32" ht="19.5" customHeight="1" s="125">
      <c r="A32" s="138" t="inlineStr">
        <is>
          <t>Revenue per employee (EUR/yr)</t>
        </is>
      </c>
      <c r="B32" s="144">
        <f>B31/B7</f>
        <v/>
      </c>
      <c r="C32" s="127" t="n"/>
      <c r="D32" s="144">
        <f>D31/D7</f>
        <v/>
      </c>
      <c r="E32" s="136" t="inlineStr">
        <is>
          <t>Target: EUR 200-500K. SaaS median: $129K (SaaS Capital 2025)</t>
        </is>
      </c>
      <c r="F32" s="144">
        <f>F31/F7</f>
        <v/>
      </c>
      <c r="G32" s="127" t="n"/>
      <c r="H32" s="144">
        <f>H31/H7</f>
        <v/>
      </c>
      <c r="I32" s="127" t="n"/>
      <c r="J32" s="144">
        <f>J31/J7</f>
        <v/>
      </c>
      <c r="K32" s="127" t="n"/>
      <c r="L32" s="127" t="n"/>
      <c r="M32" s="1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8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124" min="1" max="1"/>
    <col width="20" customWidth="1" style="124" min="2" max="3"/>
    <col width="52" customWidth="1" style="124" min="4" max="4"/>
    <col width="24" customWidth="1" style="124" min="5" max="5"/>
  </cols>
  <sheetData>
    <row r="1" ht="27.75" customHeight="1" s="125">
      <c r="A1" s="126" t="inlineStr">
        <is>
          <t>TERCIER — Investment &amp; Capital Plan</t>
        </is>
      </c>
      <c r="B1" s="127" t="n"/>
      <c r="C1" s="127" t="n"/>
      <c r="D1" s="127" t="n"/>
      <c r="E1" s="127" t="n"/>
      <c r="F1" s="127" t="n"/>
      <c r="G1" s="127" t="n"/>
    </row>
    <row r="2" ht="18" customHeight="1" s="125">
      <c r="A2" s="128" t="inlineStr">
        <is>
          <t>All inputs in BLUE. All formulas in BLACK. All cross-sheet links in GREEN. Yellow fill = key assumptions.</t>
        </is>
      </c>
      <c r="F2" s="127" t="n"/>
      <c r="G2" s="127" t="n"/>
    </row>
    <row r="3" ht="15" customHeight="1" s="125">
      <c r="A3" s="127" t="n"/>
      <c r="B3" s="127" t="n"/>
      <c r="C3" s="127" t="n"/>
      <c r="D3" s="127" t="n"/>
      <c r="E3" s="127" t="n"/>
      <c r="F3" s="127" t="n"/>
      <c r="G3" s="127" t="n"/>
    </row>
    <row r="4" ht="24" customHeight="1" s="125">
      <c r="A4" s="129" t="inlineStr">
        <is>
          <t>A. OPERATING EXPENDITURE (18 months)</t>
        </is>
      </c>
      <c r="B4" s="130" t="n"/>
      <c r="C4" s="130" t="n"/>
      <c r="D4" s="130" t="n"/>
      <c r="E4" s="130" t="n"/>
      <c r="F4" s="130" t="n"/>
      <c r="G4" s="130" t="n"/>
    </row>
    <row r="5" ht="21.75" customHeight="1" s="125">
      <c r="A5" s="131" t="inlineStr">
        <is>
          <t>Item</t>
        </is>
      </c>
      <c r="B5" s="132" t="inlineStr">
        <is>
          <t>Low (EUR)</t>
        </is>
      </c>
      <c r="C5" s="132" t="inlineStr">
        <is>
          <t>High (EUR)</t>
        </is>
      </c>
      <c r="D5" s="132" t="inlineStr">
        <is>
          <t>Derivation</t>
        </is>
      </c>
      <c r="E5" s="133" t="n"/>
      <c r="F5" s="133" t="n"/>
      <c r="G5" s="133" t="n"/>
    </row>
    <row r="6" ht="19.5" customHeight="1" s="125">
      <c r="A6" s="134" t="inlineStr">
        <is>
          <t>Founder salary (18 months)</t>
        </is>
      </c>
      <c r="B6" s="137" t="n">
        <v>79121</v>
      </c>
      <c r="C6" s="137" t="n">
        <v>79121</v>
      </c>
      <c r="D6" s="136" t="inlineStr">
        <is>
          <t>CHF 48K/yr × 1.5 yr / 0.91 FX = EUR 79,121</t>
        </is>
      </c>
      <c r="E6" s="127" t="n"/>
      <c r="F6" s="127" t="n"/>
      <c r="G6" s="127" t="n"/>
    </row>
    <row r="7" ht="19.5" customHeight="1" s="125">
      <c r="A7" s="138" t="inlineStr">
        <is>
          <t>First hires (6 months of CS+CTO from mo 12)</t>
        </is>
      </c>
      <c r="B7" s="137" t="n">
        <v>45000</v>
      </c>
      <c r="C7" s="137" t="n">
        <v>66000</v>
      </c>
      <c r="D7" s="136" t="inlineStr">
        <is>
          <t>6 mo × EUR 15-22K/mo combined</t>
        </is>
      </c>
      <c r="E7" s="127" t="n"/>
      <c r="F7" s="127" t="n"/>
      <c r="G7" s="127" t="n"/>
    </row>
    <row r="8" ht="19.5" customHeight="1" s="125">
      <c r="A8" s="134" t="inlineStr">
        <is>
          <t>Swiss AG admin/legal/insurance/coworking</t>
        </is>
      </c>
      <c r="B8" s="137" t="n">
        <v>31648</v>
      </c>
      <c r="C8" s="137" t="n">
        <v>53407</v>
      </c>
      <c r="D8" s="136" t="inlineStr">
        <is>
          <t>18 mo × CHF 1,600-2,700/mo / 0.91 FX</t>
        </is>
      </c>
      <c r="E8" s="127" t="n"/>
      <c r="F8" s="127" t="n"/>
      <c r="G8" s="127" t="n"/>
    </row>
    <row r="9" ht="19.5" customHeight="1" s="125">
      <c r="A9" s="138" t="inlineStr">
        <is>
          <t>Infrastructure + AI tooling + SaaS</t>
        </is>
      </c>
      <c r="B9" s="137" t="n">
        <v>11250</v>
      </c>
      <c r="C9" s="137" t="n">
        <v>27000</v>
      </c>
      <c r="D9" s="136" t="inlineStr">
        <is>
          <t>Minimal early, scales in steps over 18 mo</t>
        </is>
      </c>
      <c r="E9" s="127" t="n"/>
      <c r="F9" s="127" t="n"/>
      <c r="G9" s="127" t="n"/>
    </row>
    <row r="10" ht="19.5" customHeight="1" s="125">
      <c r="A10" s="134" t="inlineStr">
        <is>
          <t>Hardware (MacBook Pro M4 Max)</t>
        </is>
      </c>
      <c r="B10" s="137" t="n">
        <v>2967</v>
      </c>
      <c r="C10" s="137" t="n">
        <v>3736</v>
      </c>
      <c r="D10" s="136" t="inlineStr">
        <is>
          <t>CHF 2,700-3,400 / 0.91 FX. One-time.</t>
        </is>
      </c>
      <c r="E10" s="127" t="n"/>
      <c r="F10" s="127" t="n"/>
      <c r="G10" s="127" t="n"/>
    </row>
    <row r="11" ht="19.5" customHeight="1" s="125">
      <c r="A11" s="127" t="inlineStr">
        <is>
          <t>Marketing and distribution</t>
        </is>
      </c>
      <c r="B11" s="158" t="n">
        <v>30000</v>
      </c>
      <c r="C11" s="158" t="n">
        <v>50000</v>
      </c>
      <c r="D11" s="152" t="inlineStr">
        <is>
          <t>EUR 1.5-2K/mo pre-breakeven (seed), EUR 3-5K/mo post-breakeven (revenue). LinkedIn, events, case studies, travel. 8-12% of cumulative revenue.</t>
        </is>
      </c>
    </row>
    <row r="12" ht="19.5" customHeight="1" s="125">
      <c r="A12" s="188" t="inlineStr">
        <is>
          <t>Buffer (contingency)</t>
        </is>
      </c>
      <c r="B12" s="137" t="n">
        <v>10000</v>
      </c>
      <c r="C12" s="137" t="n">
        <v>15000</v>
      </c>
      <c r="D12" s="189" t="inlineStr">
        <is>
          <t>Legal surprises, unexpected costs, unforeseen travel. Lean but real.</t>
        </is>
      </c>
      <c r="E12" s="127" t="n"/>
      <c r="F12" s="127" t="n"/>
      <c r="G12" s="127" t="n"/>
    </row>
    <row r="13" ht="15" customHeight="1" s="125">
      <c r="A13" s="180" t="inlineStr">
        <is>
          <t>TOTAL OPERATING EXPENDITURE</t>
        </is>
      </c>
      <c r="B13" s="181">
        <f>SUM(B6:B12)</f>
        <v/>
      </c>
      <c r="C13" s="181">
        <f>SUM(C6:C12)</f>
        <v/>
      </c>
      <c r="D13" s="127" t="n"/>
      <c r="E13" s="127" t="n"/>
      <c r="F13" s="127" t="n"/>
      <c r="G13" s="127" t="n"/>
    </row>
    <row r="14" ht="24" customHeight="1" s="125">
      <c r="A14" s="127" t="n"/>
      <c r="B14" s="127" t="n"/>
      <c r="C14" s="127" t="n"/>
      <c r="D14" s="127" t="n"/>
      <c r="E14" s="127" t="n"/>
      <c r="F14" s="127" t="n"/>
      <c r="G14" s="127" t="n"/>
    </row>
    <row r="15" ht="19.5" customHeight="1" s="125">
      <c r="A15" s="129" t="inlineStr">
        <is>
          <t>B. SHARE CAPITAL (balance-sheet asset, NOT an expense)</t>
        </is>
      </c>
      <c r="B15" s="130" t="n"/>
      <c r="C15" s="130" t="n"/>
      <c r="D15" s="130" t="n"/>
      <c r="E15" s="130" t="n"/>
      <c r="F15" s="130" t="n"/>
      <c r="G15" s="130" t="n"/>
    </row>
    <row r="16" ht="15" customHeight="1" s="125">
      <c r="A16" s="134" t="inlineStr">
        <is>
          <t>AG share capital deposit</t>
        </is>
      </c>
      <c r="B16" s="137" t="n">
        <v>54945</v>
      </c>
      <c r="C16" s="137" t="n">
        <v>109890</v>
      </c>
      <c r="D16" s="136" t="inlineStr">
        <is>
          <t>CHF 50-100K / 0.91 FX. Sits on company account. Available for ops.</t>
        </is>
      </c>
      <c r="E16" s="127" t="n"/>
      <c r="F16" s="127" t="n"/>
      <c r="G16" s="127" t="n"/>
    </row>
    <row r="17" ht="24" customHeight="1" s="125">
      <c r="A17" s="127" t="n"/>
      <c r="B17" s="127" t="n"/>
      <c r="C17" s="127" t="n"/>
      <c r="D17" s="127" t="n"/>
      <c r="E17" s="127" t="n"/>
      <c r="F17" s="127" t="n"/>
      <c r="G17" s="127" t="n"/>
    </row>
    <row r="18" ht="19.5" customHeight="1" s="125">
      <c r="A18" s="129" t="inlineStr">
        <is>
          <t>C. TOTAL CAPITAL REQUIRED</t>
        </is>
      </c>
      <c r="B18" s="130" t="n"/>
      <c r="C18" s="130" t="n"/>
      <c r="D18" s="130" t="n"/>
      <c r="E18" s="130" t="n"/>
      <c r="F18" s="130" t="n"/>
      <c r="G18" s="130" t="n"/>
    </row>
    <row r="19" ht="19.5" customHeight="1" s="125">
      <c r="A19" s="178" t="n"/>
      <c r="B19" s="132" t="inlineStr">
        <is>
          <t>Low (EUR)</t>
        </is>
      </c>
      <c r="C19" s="132" t="inlineStr">
        <is>
          <t>High (EUR)</t>
        </is>
      </c>
      <c r="D19" s="132" t="inlineStr">
        <is>
          <t>Notes</t>
        </is>
      </c>
      <c r="E19" s="127" t="n"/>
      <c r="F19" s="127" t="n"/>
      <c r="G19" s="127" t="n"/>
    </row>
    <row r="20" ht="19.5" customHeight="1" s="125">
      <c r="A20" s="134" t="inlineStr">
        <is>
          <t>Operating expenditure (A)</t>
        </is>
      </c>
      <c r="B20" s="190">
        <f>B13</f>
        <v/>
      </c>
      <c r="C20" s="190">
        <f>C13</f>
        <v/>
      </c>
      <c r="D20" s="127" t="n"/>
      <c r="E20" s="127" t="n"/>
      <c r="F20" s="127" t="n"/>
      <c r="G20" s="127" t="n"/>
    </row>
    <row r="21" ht="19.5" customHeight="1" s="125">
      <c r="A21" s="138" t="inlineStr">
        <is>
          <t>Share capital (B)</t>
        </is>
      </c>
      <c r="B21" s="191">
        <f>B16</f>
        <v/>
      </c>
      <c r="C21" s="191">
        <f>C16</f>
        <v/>
      </c>
      <c r="D21" s="127" t="n"/>
      <c r="E21" s="127" t="n"/>
      <c r="F21" s="127" t="n"/>
      <c r="G21" s="127" t="n"/>
    </row>
    <row r="22" ht="19.5" customHeight="1" s="125">
      <c r="A22" s="134" t="inlineStr">
        <is>
          <t>TOTAL CAPITAL IN</t>
        </is>
      </c>
      <c r="B22" s="143">
        <f>B20+B21</f>
        <v/>
      </c>
      <c r="C22" s="143">
        <f>C20+C21</f>
        <v/>
      </c>
      <c r="D22" s="127" t="n"/>
      <c r="E22" s="127" t="n"/>
      <c r="F22" s="127" t="n"/>
      <c r="G22" s="127" t="n"/>
    </row>
    <row r="23" ht="19.5" customHeight="1" s="125">
      <c r="A23" s="138" t="inlineStr">
        <is>
          <t>Expected revenue (months 1-18)</t>
        </is>
      </c>
      <c r="B23" s="192" t="n">
        <v>200000</v>
      </c>
      <c r="C23" s="192" t="n">
        <v>400000</v>
      </c>
      <c r="D23" s="136" t="inlineStr">
        <is>
          <t>Low=conservative ramp 15 hotels, High=21+ hotels by mo 12 accelerating</t>
        </is>
      </c>
      <c r="E23" s="127" t="n"/>
      <c r="F23" s="127" t="n"/>
      <c r="G23" s="127" t="n"/>
    </row>
    <row r="24" ht="15" customHeight="1" s="125">
      <c r="A24" s="183" t="inlineStr">
        <is>
          <t>NET CASH NEEDED</t>
        </is>
      </c>
      <c r="B24" s="184">
        <f>B22-B23</f>
        <v/>
      </c>
      <c r="C24" s="184">
        <f>C22-C23</f>
        <v/>
      </c>
      <c r="D24" s="127" t="n"/>
      <c r="E24" s="127" t="n"/>
      <c r="F24" s="127" t="n"/>
      <c r="G24" s="127" t="n"/>
    </row>
    <row r="25" ht="24" customHeight="1" s="125">
      <c r="A25" s="127" t="n"/>
      <c r="B25" s="127" t="n"/>
      <c r="C25" s="127" t="n"/>
      <c r="D25" s="127" t="n"/>
      <c r="E25" s="127" t="n"/>
      <c r="F25" s="127" t="n"/>
      <c r="G25" s="127" t="n"/>
    </row>
    <row r="26" ht="19.5" customHeight="1" s="125">
      <c r="A26" s="129" t="inlineStr">
        <is>
          <t>PROPOSED SEED INVESTMENT</t>
        </is>
      </c>
      <c r="B26" s="130" t="n"/>
      <c r="C26" s="130" t="n"/>
      <c r="D26" s="130" t="n"/>
      <c r="E26" s="130" t="n"/>
      <c r="F26" s="130" t="n"/>
      <c r="G26" s="130" t="n"/>
    </row>
    <row r="27" ht="19.5" customHeight="1" s="125">
      <c r="A27" s="134" t="inlineStr">
        <is>
          <t>Seed range (CHF 120K-150K at 0.91 FX)</t>
        </is>
      </c>
      <c r="B27" s="137" t="n">
        <v>131868</v>
      </c>
      <c r="C27" s="137" t="n">
        <v>164835</v>
      </c>
      <c r="D27" s="127" t="n"/>
      <c r="E27" s="127" t="n"/>
      <c r="F27" s="127" t="n"/>
      <c r="G27" s="127" t="n"/>
    </row>
    <row r="28" ht="15" customHeight="1" s="125">
      <c r="A28" s="138" t="inlineStr">
        <is>
          <t>Runway at ~EUR 9,725/mo burn (months)</t>
        </is>
      </c>
      <c r="B28" s="193">
        <f>B27/B51</f>
        <v/>
      </c>
      <c r="C28" s="193">
        <f>C27/B51</f>
        <v/>
      </c>
      <c r="D28" s="136" t="inlineStr">
        <is>
          <t>Seed / pre-revenue monthly burn</t>
        </is>
      </c>
      <c r="E28" s="127" t="n"/>
      <c r="F28" s="127" t="n"/>
      <c r="G28" s="127" t="n"/>
    </row>
    <row r="29" ht="15" customHeight="1" s="125">
      <c r="A29" s="127" t="n"/>
      <c r="B29" s="127" t="n"/>
      <c r="C29" s="127" t="n"/>
      <c r="D29" s="127" t="n"/>
      <c r="E29" s="127" t="n"/>
      <c r="F29" s="127" t="n"/>
      <c r="G29" s="127" t="n"/>
    </row>
    <row r="30" ht="21.75" customHeight="1" s="125">
      <c r="A30" s="127" t="n"/>
      <c r="B30" s="127" t="n"/>
      <c r="C30" s="127" t="n"/>
      <c r="D30" s="127" t="n"/>
      <c r="E30" s="127" t="n"/>
      <c r="F30" s="127" t="n"/>
      <c r="G30" s="127" t="n"/>
    </row>
    <row r="31" ht="15" customHeight="1" s="125">
      <c r="A31" s="131" t="inlineStr">
        <is>
          <t>D. SEED INVESTMENT DERIVATION — CHF 150K CAP (EUR 165K)</t>
        </is>
      </c>
      <c r="B31" s="133" t="n"/>
      <c r="C31" s="133" t="n"/>
      <c r="D31" s="133" t="n"/>
      <c r="E31" s="133" t="n"/>
      <c r="F31" s="133" t="n"/>
      <c r="G31" s="133" t="n"/>
    </row>
    <row r="32" ht="19.5" customHeight="1" s="125">
      <c r="A32" s="127" t="n"/>
      <c r="B32" s="127" t="n"/>
      <c r="C32" s="127" t="n"/>
      <c r="D32" s="127" t="n"/>
      <c r="E32" s="127" t="n"/>
      <c r="F32" s="127" t="n"/>
      <c r="G32" s="127" t="n"/>
    </row>
    <row r="33" ht="19.5" customHeight="1" s="125">
      <c r="A33" s="180" t="inlineStr">
        <is>
          <t>SCENARIO</t>
        </is>
      </c>
      <c r="B33" s="180" t="inlineStr">
        <is>
          <t>Low Cost + High Rev</t>
        </is>
      </c>
      <c r="C33" s="180" t="inlineStr">
        <is>
          <t>Low Cost + Low Rev</t>
        </is>
      </c>
      <c r="D33" s="180" t="inlineStr">
        <is>
          <t>High Cost + Low Rev</t>
        </is>
      </c>
      <c r="E33" s="127" t="n"/>
      <c r="F33" s="127" t="n"/>
      <c r="G33" s="127" t="n"/>
    </row>
    <row r="34" ht="19.5" customHeight="1" s="125">
      <c r="A34" s="138" t="inlineStr">
        <is>
          <t>Operating expenditure (18 mo)</t>
        </is>
      </c>
      <c r="B34" s="144" t="n">
        <v>211250</v>
      </c>
      <c r="C34" s="144" t="n">
        <v>211250</v>
      </c>
      <c r="D34" s="144" t="n">
        <v>285800</v>
      </c>
      <c r="E34" s="127" t="n"/>
      <c r="F34" s="127" t="n"/>
      <c r="G34" s="127" t="n"/>
    </row>
    <row r="35" ht="19.5" customHeight="1" s="125">
      <c r="A35" s="134" t="inlineStr">
        <is>
          <t>Share capital (balance-sheet asset)</t>
        </is>
      </c>
      <c r="B35" s="143" t="n">
        <v>55556</v>
      </c>
      <c r="C35" s="143" t="n">
        <v>55556</v>
      </c>
      <c r="D35" s="143" t="n">
        <v>111111</v>
      </c>
      <c r="E35" s="127" t="n"/>
      <c r="F35" s="127" t="n"/>
      <c r="G35" s="127" t="n"/>
    </row>
    <row r="36" ht="19.5" customHeight="1" s="125">
      <c r="A36" s="194" t="inlineStr">
        <is>
          <t>Total capital in</t>
        </is>
      </c>
      <c r="B36" s="144">
        <f>B34+B35</f>
        <v/>
      </c>
      <c r="C36" s="144">
        <f>C34+C35</f>
        <v/>
      </c>
      <c r="D36" s="144">
        <f>D34+D35</f>
        <v/>
      </c>
      <c r="E36" s="127" t="n"/>
      <c r="F36" s="127" t="n"/>
      <c r="G36" s="127" t="n"/>
    </row>
    <row r="37" ht="19.5" customHeight="1" s="125">
      <c r="A37" s="134" t="inlineStr">
        <is>
          <t>Revenue earned (months 1-18)</t>
        </is>
      </c>
      <c r="B37" s="143" t="n">
        <v>-200000</v>
      </c>
      <c r="C37" s="143" t="n">
        <v>-60000</v>
      </c>
      <c r="D37" s="143" t="n">
        <v>-60000</v>
      </c>
      <c r="E37" s="136" t="inlineStr">
        <is>
          <t>High = 15+ hotels by mo 18; Low = 5 hotels, slow ramp</t>
        </is>
      </c>
      <c r="F37" s="127" t="n"/>
      <c r="G37" s="127" t="n"/>
    </row>
    <row r="38" ht="15" customHeight="1" s="125">
      <c r="A38" s="194" t="inlineStr">
        <is>
          <t>NET CASH NEEDED</t>
        </is>
      </c>
      <c r="B38" s="181">
        <f>B36+B37</f>
        <v/>
      </c>
      <c r="C38" s="181">
        <f>C36+C37</f>
        <v/>
      </c>
      <c r="D38" s="181">
        <f>D36+D37</f>
        <v/>
      </c>
      <c r="E38" s="127" t="n"/>
      <c r="F38" s="127" t="n"/>
      <c r="G38" s="127" t="n"/>
    </row>
    <row r="39" ht="19.5" customHeight="1" s="125">
      <c r="A39" s="127" t="n"/>
      <c r="B39" s="127" t="n"/>
      <c r="F39" s="127" t="n"/>
      <c r="G39" s="127" t="n"/>
    </row>
    <row r="40" ht="19.5" customHeight="1" s="125">
      <c r="A40" s="194" t="inlineStr">
        <is>
          <t>LOGIC:</t>
        </is>
      </c>
      <c r="B40" s="127" t="n"/>
      <c r="F40" s="127" t="n"/>
      <c r="G40" s="127" t="n"/>
    </row>
    <row r="41" ht="19.5" customHeight="1" s="125">
      <c r="A41" s="138" t="inlineStr">
        <is>
          <t>Best case (Low Cost + High Rev):</t>
        </is>
      </c>
      <c r="B41" s="138" t="inlineStr">
        <is>
          <t>Net need = EUR 67K. Share capital (EUR 56K) covers most of it. Seed of EUR 250K provides 3x safety margin.</t>
        </is>
      </c>
      <c r="C41" s="195" t="n"/>
      <c r="D41" s="195" t="n"/>
      <c r="E41" s="195" t="n"/>
      <c r="F41" s="127" t="n"/>
      <c r="G41" s="127" t="n"/>
    </row>
    <row r="42" ht="19.5" customHeight="1" s="125">
      <c r="A42" s="134" t="inlineStr">
        <is>
          <t>Middle case (Low Cost + Low Rev):</t>
        </is>
      </c>
      <c r="B42" s="134" t="inlineStr">
        <is>
          <t>Net need = EUR 207K. EUR 250K seed covers this with EUR 43K buffer.</t>
        </is>
      </c>
      <c r="C42" s="196" t="n"/>
      <c r="D42" s="196" t="n"/>
      <c r="E42" s="196" t="n"/>
      <c r="F42" s="127" t="n"/>
      <c r="G42" s="127" t="n"/>
    </row>
    <row r="43" ht="15" customHeight="1" s="125">
      <c r="A43" s="138" t="inlineStr">
        <is>
          <t>Worst case (High Cost + Low Rev):</t>
        </is>
      </c>
      <c r="B43" s="138" t="inlineStr">
        <is>
          <t>Net need = EUR 337K. EUR 400K seed covers this with EUR 63K buffer.</t>
        </is>
      </c>
      <c r="C43" s="195" t="n"/>
      <c r="D43" s="195" t="n"/>
      <c r="E43" s="195" t="n"/>
      <c r="F43" s="127" t="n"/>
      <c r="G43" s="127" t="n"/>
    </row>
    <row r="44" ht="19.5" customHeight="1" s="125">
      <c r="A44" s="127" t="n"/>
      <c r="B44" s="127" t="n"/>
      <c r="F44" s="127" t="n"/>
      <c r="G44" s="127" t="n"/>
    </row>
    <row r="45" ht="19.5" customHeight="1" s="125">
      <c r="A45" s="134" t="inlineStr">
        <is>
          <t>CHF 120K / EUR 132K floor:</t>
        </is>
      </c>
      <c r="B45" s="134" t="inlineStr">
        <is>
          <t>Covers low-cost + moderate-revenue scenario. Tight but viable with CHF 50K share capital.</t>
        </is>
      </c>
      <c r="C45" s="196" t="n"/>
      <c r="D45" s="196" t="n"/>
      <c r="E45" s="196" t="n"/>
      <c r="F45" s="127" t="n"/>
      <c r="G45" s="127" t="n"/>
    </row>
    <row r="46" ht="23.25" customHeight="1" s="125">
      <c r="A46" s="138" t="inlineStr">
        <is>
          <t>CHF 150K / EUR 165K ceiling:</t>
        </is>
      </c>
      <c r="B46" s="138" t="inlineStr">
        <is>
          <t>Covers worst case (high cost + low revenue) with CHF 100K share capital. Maximum initial funding envelope.</t>
        </is>
      </c>
      <c r="C46" s="195" t="n"/>
      <c r="D46" s="195" t="n"/>
      <c r="E46" s="195" t="n"/>
      <c r="F46" s="127" t="n"/>
      <c r="G46" s="127" t="n"/>
    </row>
    <row r="47" ht="19.5" customHeight="1" s="125">
      <c r="A47" s="127" t="n"/>
      <c r="B47" s="127" t="n"/>
      <c r="F47" s="127" t="n"/>
      <c r="G47" s="127" t="n"/>
    </row>
    <row r="48" ht="15" customHeight="1" s="125">
      <c r="A48" s="134" t="inlineStr">
        <is>
          <t>The range:</t>
        </is>
      </c>
      <c r="B48" s="134" t="inlineStr">
        <is>
          <t>CHF 120K = lean start (CHF 50K share capital, tight buffer). CHF 150K = comfortable (CHF 100K share capital, room for 1 hire). Founding team decides based on risk appetite.</t>
        </is>
      </c>
      <c r="C48" s="127" t="n"/>
      <c r="D48" s="127" t="n"/>
      <c r="E48" s="127" t="n"/>
      <c r="F48" s="127" t="n"/>
      <c r="G48" s="127" t="n"/>
    </row>
    <row r="49" ht="19.5" customHeight="1" s="125">
      <c r="A49" s="127" t="n"/>
      <c r="B49" s="127" t="n"/>
      <c r="C49" s="127" t="n"/>
      <c r="D49" s="127" t="n"/>
      <c r="E49" s="127" t="n"/>
      <c r="F49" s="127" t="n"/>
      <c r="G49" s="127" t="n"/>
    </row>
    <row r="50" ht="19.5" customHeight="1" s="125">
      <c r="A50" s="180" t="inlineStr">
        <is>
          <t>RUNWAY CALCULATION</t>
        </is>
      </c>
      <c r="B50" s="127" t="n"/>
      <c r="C50" s="127" t="n"/>
      <c r="D50" s="127" t="n"/>
      <c r="E50" s="127" t="n"/>
      <c r="F50" s="127" t="n"/>
      <c r="G50" s="127" t="n"/>
    </row>
    <row r="51" ht="19.5" customHeight="1" s="125">
      <c r="A51" s="138" t="inlineStr">
        <is>
          <t>Pre-revenue monthly burn</t>
        </is>
      </c>
      <c r="B51" s="144" t="n">
        <v>9725.27472527473</v>
      </c>
      <c r="C51" s="136" t="inlineStr">
        <is>
          <t>Founder + admin + infra + tools (no hires)</t>
        </is>
      </c>
      <c r="D51" s="127" t="n"/>
      <c r="E51" s="127" t="n"/>
      <c r="F51" s="127" t="n"/>
      <c r="G51" s="127" t="n"/>
    </row>
    <row r="52" ht="19.5" customHeight="1" s="125">
      <c r="A52" s="134" t="inlineStr">
        <is>
          <t>Runway on CHF 120K / EUR 132K seed (months)</t>
        </is>
      </c>
      <c r="B52" s="197">
        <f>131868/B51</f>
        <v/>
      </c>
      <c r="C52" s="127" t="n"/>
      <c r="D52" s="127" t="n"/>
      <c r="E52" s="127" t="n"/>
      <c r="F52" s="127" t="n"/>
      <c r="G52" s="127" t="n"/>
    </row>
    <row r="53" ht="19.5" customHeight="1" s="125">
      <c r="A53" s="138" t="inlineStr">
        <is>
          <t>Runway on CHF 150K / EUR 165K seed (months)</t>
        </is>
      </c>
      <c r="B53" s="193">
        <f>164835/B51</f>
        <v/>
      </c>
      <c r="C53" s="127" t="n"/>
      <c r="D53" s="127" t="n"/>
      <c r="E53" s="127" t="n"/>
      <c r="F53" s="127" t="n"/>
      <c r="G53" s="127" t="n"/>
    </row>
    <row r="54" ht="15" customHeight="1" s="125">
      <c r="A54" s="134" t="inlineStr">
        <is>
          <t>Months to breakeven (plan)</t>
        </is>
      </c>
      <c r="B54" s="134" t="inlineStr">
        <is>
          <t>6-9</t>
        </is>
      </c>
      <c r="C54" s="136" t="inlineStr">
        <is>
          <t>At 5-7 hotels × EUR 1,250-2,000/mo ACV</t>
        </is>
      </c>
      <c r="D54" s="127" t="n"/>
      <c r="E54" s="127" t="n"/>
      <c r="F54" s="127" t="n"/>
      <c r="G54" s="127" t="n"/>
    </row>
    <row r="55" ht="19.5" customHeight="1" s="125">
      <c r="A55" s="127" t="n"/>
      <c r="F55" s="127" t="n"/>
      <c r="G55" s="127" t="n"/>
    </row>
    <row r="56" ht="19.5" customHeight="1" s="125">
      <c r="A56" s="194" t="inlineStr">
        <is>
          <t>KEY INSIGHT:</t>
        </is>
      </c>
      <c r="B56" s="198" t="n"/>
      <c r="C56" s="198" t="n"/>
      <c r="D56" s="198" t="n"/>
      <c r="E56" s="198" t="n"/>
      <c r="F56" s="127" t="n"/>
      <c r="G56" s="127" t="n"/>
    </row>
    <row r="57" ht="19.5" customHeight="1" s="125">
      <c r="A57" s="138" t="inlineStr">
        <is>
          <t>Even at CHF 120K (EUR 132K), the company has more than 13 months of runway before any revenue.</t>
        </is>
      </c>
      <c r="B57" s="195" t="n"/>
      <c r="C57" s="195" t="n"/>
      <c r="D57" s="195" t="n"/>
      <c r="E57" s="195" t="n"/>
      <c r="F57" s="127" t="n"/>
      <c r="G57" s="127" t="n"/>
    </row>
    <row r="58" ht="19.5" customHeight="1" s="125">
      <c r="A58" s="134" t="inlineStr">
        <is>
          <t>Plan says breakeven at month 6-9. That means 9-12 months of EXCESS runway as safety net.</t>
        </is>
      </c>
      <c r="B58" s="196" t="n"/>
      <c r="C58" s="196" t="n"/>
      <c r="D58" s="196" t="n"/>
      <c r="E58" s="196" t="n"/>
      <c r="F58" s="127" t="n"/>
      <c r="G58" s="127" t="n"/>
    </row>
    <row r="59" ht="15" customHeight="1" s="125">
      <c r="A59" s="138" t="inlineStr">
        <is>
          <t>The seed is not a "hope we make it" number — it is a "we can afford to be patient for 1+ year" number.</t>
        </is>
      </c>
      <c r="B59" s="127" t="n"/>
      <c r="C59" s="127" t="n"/>
      <c r="D59" s="127" t="n"/>
      <c r="E59" s="127" t="n"/>
      <c r="F59" s="127" t="n"/>
      <c r="G59" s="127" t="n"/>
    </row>
    <row r="61" ht="15" customHeight="1" s="125">
      <c r="A61" s="149" t="inlineStr">
        <is>
          <t>E. USE OF OPERATING PROFITS — WHERE THE MONEY GOES</t>
        </is>
      </c>
    </row>
    <row r="63" ht="15" customHeight="1" s="125">
      <c r="A63" s="150" t="inlineStr">
        <is>
          <t>STAGE B: 25 hotels, month 18 (3 people)</t>
        </is>
      </c>
    </row>
    <row r="64" ht="15" customHeight="1" s="125">
      <c r="A64" s="150" t="inlineStr">
        <is>
          <t>Item</t>
        </is>
      </c>
      <c r="B64" s="150" t="inlineStr">
        <is>
          <t>Low (EUR/mo)</t>
        </is>
      </c>
      <c r="C64" s="150" t="inlineStr">
        <is>
          <t>High (EUR/mo)</t>
        </is>
      </c>
      <c r="D64" s="150" t="inlineStr">
        <is>
          <t>Notes</t>
        </is>
      </c>
    </row>
    <row r="65" ht="15" customHeight="1" s="125">
      <c r="A65" s="127" t="inlineStr">
        <is>
          <t>Monthly revenue (25 × EUR 2,000)</t>
        </is>
      </c>
      <c r="B65" s="158" t="n">
        <v>50000</v>
      </c>
      <c r="C65" s="158" t="n">
        <v>50000</v>
      </c>
      <c r="D65" s="152" t="inlineStr">
        <is>
          <t>See 3-Stage P&amp;L, Stage B</t>
        </is>
      </c>
    </row>
    <row r="66" ht="15" customHeight="1" s="125">
      <c r="A66" s="127" t="inlineStr">
        <is>
          <t>Total operating costs</t>
        </is>
      </c>
      <c r="B66" s="199" t="n">
        <v>-26381</v>
      </c>
      <c r="C66" s="199" t="n">
        <v>-33381</v>
      </c>
      <c r="D66" s="152" t="inlineStr">
        <is>
          <t>See 3-Stage P&amp;L, Stage B (includes founder salary)</t>
        </is>
      </c>
    </row>
    <row r="67" ht="15" customHeight="1" s="125">
      <c r="A67" s="127" t="inlineStr">
        <is>
          <t>Founder rev-share (2% MRR)</t>
        </is>
      </c>
      <c r="B67" s="199" t="n">
        <v>-1000</v>
      </c>
      <c r="C67" s="199" t="n">
        <v>-1000</v>
      </c>
      <c r="D67" s="152" t="inlineStr">
        <is>
          <t>Kicks in at sustained profitability (~month 15-20)</t>
        </is>
      </c>
    </row>
    <row r="68" ht="15" customHeight="1" s="125">
      <c r="A68" s="150" t="inlineStr">
        <is>
          <t>MONTHLY OPERATING SURPLUS</t>
        </is>
      </c>
      <c r="B68" s="200">
        <f>SUM(B65:B67)</f>
        <v/>
      </c>
      <c r="C68" s="200">
        <f>SUM(C65:C67)</f>
        <v/>
      </c>
    </row>
    <row r="69" ht="15" customHeight="1" s="125">
      <c r="A69" s="127" t="inlineStr">
        <is>
          <t>Annual surplus</t>
        </is>
      </c>
      <c r="B69" s="155">
        <f>B68*12</f>
        <v/>
      </c>
      <c r="C69" s="155">
        <f>C68*12</f>
        <v/>
      </c>
      <c r="D69" s="152" t="inlineStr">
        <is>
          <t>Retained earnings. Funds next 2 hires + cash reserve before scaling.</t>
        </is>
      </c>
    </row>
    <row r="71" ht="15" customHeight="1" s="125">
      <c r="A71" s="150" t="inlineStr">
        <is>
          <t>STAGE C: 100 hotels, month 36 (8 people)</t>
        </is>
      </c>
    </row>
    <row r="72" ht="15" customHeight="1" s="125">
      <c r="A72" s="150" t="inlineStr">
        <is>
          <t>Item</t>
        </is>
      </c>
      <c r="B72" s="150" t="inlineStr">
        <is>
          <t>Low (EUR/mo)</t>
        </is>
      </c>
      <c r="C72" s="150" t="inlineStr">
        <is>
          <t>High (EUR/mo)</t>
        </is>
      </c>
      <c r="D72" s="150" t="inlineStr">
        <is>
          <t>Notes</t>
        </is>
      </c>
    </row>
    <row r="73" ht="15" customHeight="1" s="125">
      <c r="A73" s="127" t="inlineStr">
        <is>
          <t>Monthly revenue (100 × EUR 2,500)</t>
        </is>
      </c>
      <c r="B73" s="158" t="n">
        <v>250000</v>
      </c>
      <c r="C73" s="158" t="n">
        <v>250000</v>
      </c>
      <c r="D73" s="152" t="inlineStr">
        <is>
          <t>See 3-Stage P&amp;L, Stage C</t>
        </is>
      </c>
    </row>
    <row r="74" ht="15" customHeight="1" s="125">
      <c r="A74" s="127" t="inlineStr">
        <is>
          <t>Total operating costs</t>
        </is>
      </c>
      <c r="B74" s="199" t="n">
        <v>-63000</v>
      </c>
      <c r="C74" s="199" t="n">
        <v>-86000</v>
      </c>
      <c r="D74" s="152" t="inlineStr">
        <is>
          <t>See 3-Stage P&amp;L, Stage C (includes founder salary EUR 6-8K)</t>
        </is>
      </c>
    </row>
    <row r="75" ht="15" customHeight="1" s="125">
      <c r="A75" s="127" t="inlineStr">
        <is>
          <t>Founder rev-share (2% MRR)</t>
        </is>
      </c>
      <c r="B75" s="199" t="n">
        <v>-5000</v>
      </c>
      <c r="C75" s="199" t="n">
        <v>-5000</v>
      </c>
      <c r="D75" s="152" t="inlineStr">
        <is>
          <t>EUR 250K MRR × 2%</t>
        </is>
      </c>
    </row>
    <row r="76" ht="15" customHeight="1" s="125">
      <c r="A76" s="150" t="inlineStr">
        <is>
          <t>MONTHLY OPERATING SURPLUS</t>
        </is>
      </c>
      <c r="B76" s="200">
        <f>SUM(B73:B75)</f>
        <v/>
      </c>
      <c r="C76" s="200">
        <f>SUM(C73:C75)</f>
        <v/>
      </c>
    </row>
    <row r="77" ht="15" customHeight="1" s="125">
      <c r="A77" s="127" t="inlineStr">
        <is>
          <t>Annual surplus</t>
        </is>
      </c>
      <c r="B77" s="155">
        <f>B76*12</f>
        <v/>
      </c>
      <c r="C77" s="155">
        <f>C76*12</f>
        <v/>
      </c>
      <c r="D77" s="152" t="inlineStr">
        <is>
          <t>~EUR 1.6-2.2M/yr in retained earnings.</t>
        </is>
      </c>
    </row>
    <row r="78" ht="15" customHeight="1" s="125">
      <c r="A78" s="127" t="inlineStr">
        <is>
          <t>Operating margin (post rev-share)</t>
        </is>
      </c>
      <c r="B78" s="201">
        <f>B76/B73</f>
        <v/>
      </c>
      <c r="C78" s="201">
        <f>C76/C73</f>
        <v/>
      </c>
    </row>
    <row r="80" ht="15" customHeight="1" s="125">
      <c r="A80" s="150" t="inlineStr">
        <is>
          <t>PROFIT ALLOCATION FRAMEWORK (board decision, reviewed annually at AGM)</t>
        </is>
      </c>
    </row>
    <row r="81" ht="15" customHeight="1" s="125">
      <c r="A81" s="127" t="inlineStr">
        <is>
          <t>1. Cash reserve (3-6 months operating costs)</t>
        </is>
      </c>
      <c r="B81" s="155">
        <f>-B74*3</f>
        <v/>
      </c>
      <c r="C81" s="155">
        <f>-C74*6</f>
        <v/>
      </c>
      <c r="D81" s="152" t="inlineStr">
        <is>
          <t>Standard SaaS safety buffer. No emergency fundraising.</t>
        </is>
      </c>
    </row>
    <row r="82" ht="15" customHeight="1" s="125">
      <c r="A82" s="127" t="inlineStr">
        <is>
          <t>2. Growth reinvestment</t>
        </is>
      </c>
      <c r="D82" s="152" t="inlineStr">
        <is>
          <t>New markets, product R&amp;D, additional hires beyond 8, event booths, acquisitions.</t>
        </is>
      </c>
    </row>
    <row r="83" ht="15" customHeight="1" s="125">
      <c r="A83" s="127" t="inlineStr">
        <is>
          <t>3. Series A war chest</t>
        </is>
      </c>
      <c r="D83" s="152" t="inlineStr">
        <is>
          <t>EUR 1-2M in bank + EUR 3M+ ARR + 66% margins = raise from strength.</t>
        </is>
      </c>
    </row>
    <row r="84" ht="15" customHeight="1" s="125">
      <c r="A84" s="127" t="inlineStr">
        <is>
          <t>4. Profit distribution (optional)</t>
        </is>
      </c>
      <c r="D84" s="152" t="inlineStr">
        <is>
          <t>Swiss AG: 35% withholding tax (refundable for CH residents). Board decides annually.</t>
        </is>
      </c>
    </row>
    <row r="85" ht="15" customHeight="1" s="125">
      <c r="A85" s="127" t="inlineStr">
        <is>
          <t>5. Founder comp adjustment</t>
        </is>
      </c>
      <c r="D85" s="152" t="inlineStr">
        <is>
          <t>Beyond 2% MRR rev-share. Board approves once comfortably profitable.</t>
        </is>
      </c>
    </row>
    <row r="87" ht="15" customHeight="1" s="125">
      <c r="A87" s="152" t="inlineStr">
        <is>
          <t>DEFAULT: Retain 80-100% of profits for growth in years 1-3. Distributions deferred until growth stabilizes.</t>
        </is>
      </c>
    </row>
    <row r="88" ht="15" customHeight="1" s="125">
      <c r="A88" s="152" t="inlineStr">
        <is>
          <t>Retained earnings stay on the company balance sheet and are visible in annual financials.</t>
        </is>
      </c>
    </row>
    <row r="89" ht="15" customHeight="1" s="125">
      <c r="A89" s="152" t="inlineStr">
        <is>
          <t>Profit distributions are possible later, but reinvestment is the default while the company is scaling.</t>
        </is>
      </c>
    </row>
  </sheetData>
  <mergeCells count="10">
    <mergeCell ref="A55:E55"/>
    <mergeCell ref="B41:E41"/>
    <mergeCell ref="B40:E40"/>
    <mergeCell ref="A57:E57"/>
    <mergeCell ref="A2:E2"/>
    <mergeCell ref="B43:E43"/>
    <mergeCell ref="B44:E44"/>
    <mergeCell ref="B39:E39"/>
    <mergeCell ref="B46:E46"/>
    <mergeCell ref="A56:E5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124" min="1" max="1"/>
    <col width="16" customWidth="1" style="124" min="2" max="3"/>
    <col width="52" customWidth="1" style="124" min="4" max="4"/>
    <col width="42" customWidth="1" style="124" min="5" max="5"/>
  </cols>
  <sheetData>
    <row r="1" ht="27.75" customHeight="1" s="125">
      <c r="A1" s="126" t="inlineStr">
        <is>
          <t>TERCIER — Customer Value &amp; Replacement Math</t>
        </is>
      </c>
      <c r="B1" s="127" t="n"/>
      <c r="C1" s="127" t="n"/>
      <c r="D1" s="127" t="n"/>
      <c r="E1" s="127" t="n"/>
      <c r="F1" s="127" t="n"/>
      <c r="G1" s="127" t="n"/>
    </row>
    <row r="2" ht="18" customHeight="1" s="125">
      <c r="A2" s="128" t="inlineStr">
        <is>
          <t>All inputs in BLUE. All formulas in BLACK. All cross-sheet links in GREEN. Yellow fill = key assumptions.</t>
        </is>
      </c>
      <c r="F2" s="127" t="n"/>
      <c r="G2" s="127" t="n"/>
    </row>
    <row r="3" ht="15" customHeight="1" s="125">
      <c r="A3" s="127" t="n"/>
      <c r="B3" s="127" t="n"/>
      <c r="C3" s="127" t="n"/>
      <c r="D3" s="127" t="n"/>
      <c r="E3" s="127" t="n"/>
      <c r="F3" s="127" t="n"/>
      <c r="G3" s="127" t="n"/>
    </row>
    <row r="4" ht="24" customHeight="1" s="125">
      <c r="A4" s="129" t="inlineStr">
        <is>
          <t>HOTEL ECONOMICS — WHY THEY PAY</t>
        </is>
      </c>
      <c r="B4" s="130" t="n"/>
      <c r="C4" s="130" t="n"/>
      <c r="D4" s="130" t="n"/>
      <c r="E4" s="130" t="n"/>
      <c r="F4" s="130" t="n"/>
      <c r="G4" s="130" t="n"/>
    </row>
    <row r="5" ht="21.75" customHeight="1" s="125">
      <c r="A5" s="131" t="inlineStr">
        <is>
          <t>Parameter</t>
        </is>
      </c>
      <c r="B5" s="132" t="inlineStr">
        <is>
          <t>Value</t>
        </is>
      </c>
      <c r="C5" s="146" t="n"/>
      <c r="D5" s="132" t="inlineStr">
        <is>
          <t>Source / Derivation</t>
        </is>
      </c>
      <c r="E5" s="132" t="inlineStr">
        <is>
          <t>URL</t>
        </is>
      </c>
      <c r="F5" s="133" t="n"/>
      <c r="G5" s="133" t="n"/>
    </row>
    <row r="6" ht="19.5" customHeight="1" s="125">
      <c r="A6" s="134" t="inlineStr">
        <is>
          <t>Typical premium hotel annual revenue</t>
        </is>
      </c>
      <c r="B6" s="202" t="inlineStr">
        <is>
          <t>EUR 25M</t>
        </is>
      </c>
      <c r="C6" s="127" t="n"/>
      <c r="D6" s="136" t="inlineStr">
        <is>
          <t>Plan Section 1 — midpoint of EUR 15-70M range</t>
        </is>
      </c>
      <c r="E6" s="127" t="n"/>
      <c r="F6" s="127" t="n"/>
      <c r="G6" s="127" t="n"/>
    </row>
    <row r="7" ht="19.5" customHeight="1" s="125">
      <c r="A7" s="138" t="inlineStr">
        <is>
          <t>OTA commission rate</t>
        </is>
      </c>
      <c r="B7" s="202" t="inlineStr">
        <is>
          <t>18%</t>
        </is>
      </c>
      <c r="C7" s="127" t="n"/>
      <c r="D7" s="136" t="inlineStr">
        <is>
          <t>Industry range 15-30%. 18% is conservative avg.</t>
        </is>
      </c>
      <c r="E7" s="127" t="n"/>
      <c r="F7" s="127" t="n"/>
      <c r="G7" s="127" t="n"/>
    </row>
    <row r="8" ht="19.5" customHeight="1" s="125">
      <c r="A8" s="134" t="inlineStr">
        <is>
          <t>% bookings via OTA</t>
        </is>
      </c>
      <c r="B8" s="202" t="inlineStr">
        <is>
          <t>50%</t>
        </is>
      </c>
      <c r="C8" s="127" t="n"/>
      <c r="D8" s="136" t="inlineStr">
        <is>
          <t>Industry standard for premium segment</t>
        </is>
      </c>
      <c r="E8" s="127" t="n"/>
      <c r="F8" s="127" t="n"/>
      <c r="G8" s="127" t="n"/>
    </row>
    <row r="9" ht="19.5" customHeight="1" s="125">
      <c r="A9" s="138" t="inlineStr">
        <is>
          <t>Annual OTA commissions paid</t>
        </is>
      </c>
      <c r="B9" s="127">
        <f>25000000*0.18*0.5</f>
        <v/>
      </c>
      <c r="C9" s="127" t="n"/>
      <c r="D9" s="127" t="inlineStr">
        <is>
          <t>EUR 25M × 18% × 50% = EUR 2.25M</t>
        </is>
      </c>
      <c r="E9" s="127" t="n"/>
      <c r="F9" s="127" t="n"/>
      <c r="G9" s="127" t="n"/>
    </row>
    <row r="10" ht="19.5" customHeight="1" s="125">
      <c r="A10" s="134" t="inlineStr">
        <is>
          <t>Direct booking shift target</t>
        </is>
      </c>
      <c r="B10" s="202" t="inlineStr">
        <is>
          <t>5%</t>
        </is>
      </c>
      <c r="C10" s="127" t="n"/>
      <c r="D10" s="136" t="inlineStr">
        <is>
          <t>Modest target — 5pp shift from OTA to direct</t>
        </is>
      </c>
      <c r="E10" s="127" t="n"/>
      <c r="F10" s="127" t="n"/>
      <c r="G10" s="127" t="n"/>
    </row>
    <row r="11" ht="19.5" customHeight="1" s="125">
      <c r="A11" s="138" t="inlineStr">
        <is>
          <t>Annual savings from 5% shift</t>
        </is>
      </c>
      <c r="B11" s="127">
        <f>B9*0.05</f>
        <v/>
      </c>
      <c r="C11" s="127" t="n"/>
      <c r="D11" s="127" t="inlineStr">
        <is>
          <t>5% × OTA commissions</t>
        </is>
      </c>
      <c r="E11" s="127" t="n"/>
      <c r="F11" s="127" t="n"/>
      <c r="G11" s="127" t="n"/>
    </row>
    <row r="12" ht="19.5" customHeight="1" s="125">
      <c r="A12" s="134" t="inlineStr">
        <is>
          <t>Platform annual cost (low)</t>
        </is>
      </c>
      <c r="B12" s="202" t="n">
        <v>30000</v>
      </c>
      <c r="C12" s="127" t="n"/>
      <c r="D12" s="136" t="inlineStr">
        <is>
          <t>EUR 2,500/mo × 12</t>
        </is>
      </c>
      <c r="E12" s="127" t="n"/>
      <c r="F12" s="127" t="n"/>
      <c r="G12" s="127" t="n"/>
    </row>
    <row r="13" ht="19.5" customHeight="1" s="125">
      <c r="A13" s="138" t="inlineStr">
        <is>
          <t>Platform annual cost (high)</t>
        </is>
      </c>
      <c r="B13" s="202" t="n">
        <v>60000</v>
      </c>
      <c r="C13" s="127" t="n"/>
      <c r="D13" s="136" t="inlineStr">
        <is>
          <t>EUR 5,000/mo × 12</t>
        </is>
      </c>
      <c r="E13" s="127" t="n"/>
      <c r="F13" s="127" t="n"/>
      <c r="G13" s="127" t="n"/>
    </row>
    <row r="14" ht="19.5" customHeight="1" s="125">
      <c r="A14" s="134" t="inlineStr">
        <is>
          <t>ROI on commission savings alone</t>
        </is>
      </c>
      <c r="B14" s="148">
        <f>B11/B12</f>
        <v/>
      </c>
      <c r="C14" s="127" t="n"/>
      <c r="D14" s="127" t="inlineStr">
        <is>
          <t>Annual savings / platform cost (low)</t>
        </is>
      </c>
      <c r="E14" s="127" t="n"/>
      <c r="F14" s="127" t="n"/>
      <c r="G14" s="127" t="n"/>
    </row>
    <row r="15" ht="15" customHeight="1" s="125">
      <c r="A15" s="127" t="n"/>
      <c r="B15" s="127" t="n"/>
      <c r="C15" s="127" t="n"/>
      <c r="D15" s="127" t="n"/>
      <c r="E15" s="127" t="n"/>
      <c r="F15" s="127" t="n"/>
      <c r="G15" s="127" t="n"/>
    </row>
    <row r="16" ht="19.5" customHeight="1" s="125">
      <c r="A16" s="134" t="inlineStr">
        <is>
          <t>Agency replacement cost (EUR/mo)</t>
        </is>
      </c>
      <c r="B16" s="202" t="inlineStr">
        <is>
          <t>EUR 3,000-8,000</t>
        </is>
      </c>
      <c r="C16" s="127" t="n"/>
      <c r="D16" s="136" t="inlineStr">
        <is>
          <t>Current agency spend per property</t>
        </is>
      </c>
      <c r="E16" s="127" t="n"/>
      <c r="F16" s="127" t="n"/>
      <c r="G16" s="127" t="n"/>
    </row>
    <row r="17" ht="19.5" customHeight="1" s="125">
      <c r="A17" s="138" t="inlineStr">
        <is>
          <t>Agency replacement cost (EUR/yr)</t>
        </is>
      </c>
      <c r="B17" s="203">
        <f>3000*12</f>
        <v/>
      </c>
      <c r="C17" s="127">
        <f>8000*12</f>
        <v/>
      </c>
      <c r="D17" s="127" t="inlineStr">
        <is>
          <t>Monthly × 12</t>
        </is>
      </c>
      <c r="E17" s="127" t="n"/>
      <c r="F17" s="127" t="n"/>
      <c r="G17" s="127" t="n"/>
    </row>
    <row r="18" ht="19.5" customHeight="1" s="125">
      <c r="A18" s="134" t="inlineStr">
        <is>
          <t>Equivalent internal team cost</t>
        </is>
      </c>
      <c r="B18" s="202" t="inlineStr">
        <is>
          <t>EUR 180-300K/yr</t>
        </is>
      </c>
      <c r="C18" s="127" t="n"/>
      <c r="D18" s="136" t="inlineStr">
        <is>
          <t>Senior marketer + analyst + multilingual content lead</t>
        </is>
      </c>
      <c r="E18" s="127" t="n"/>
      <c r="F18" s="127" t="n"/>
      <c r="G18" s="127" t="n"/>
    </row>
    <row r="19" ht="19.5" customHeight="1" s="125">
      <c r="A19" s="138" t="inlineStr">
        <is>
          <t>Platform equivalent cost</t>
        </is>
      </c>
      <c r="B19" s="202" t="inlineStr">
        <is>
          <t>EUR 30-60K/yr</t>
        </is>
      </c>
      <c r="C19" s="127" t="n"/>
      <c r="D19" s="136" t="inlineStr">
        <is>
          <t>vs. EUR 180-300K internal team</t>
        </is>
      </c>
      <c r="E19" s="127" t="n"/>
      <c r="F19" s="127" t="n"/>
      <c r="G19" s="127" t="n"/>
    </row>
    <row r="20" ht="19.5" customHeight="1" s="125">
      <c r="A20" s="127" t="n"/>
      <c r="B20" s="187" t="n"/>
      <c r="C20" s="127" t="n"/>
      <c r="D20" s="127" t="n"/>
      <c r="E20" s="127" t="n"/>
      <c r="F20" s="127" t="n"/>
      <c r="G20" s="127" t="n"/>
    </row>
    <row r="21" ht="19.5" customHeight="1" s="125">
      <c r="A21" s="134" t="inlineStr">
        <is>
          <t>Segmented newsletter avg booking</t>
        </is>
      </c>
      <c r="B21" s="202" t="inlineStr">
        <is>
          <t>USD 1,249</t>
        </is>
      </c>
      <c r="C21" s="127" t="n"/>
      <c r="D21" s="136" t="inlineStr">
        <is>
          <t>Revinate 2025</t>
        </is>
      </c>
      <c r="E21" s="204" t="inlineStr">
        <is>
          <t>https://www.revinate.com/blog/email-marketing-benchmark-2025/</t>
        </is>
      </c>
      <c r="F21" s="127" t="n"/>
      <c r="G21" s="127" t="n"/>
    </row>
    <row r="22" ht="19.5" customHeight="1" s="125">
      <c r="A22" s="138" t="inlineStr">
        <is>
          <t>Targeted vs blast conversion multiple</t>
        </is>
      </c>
      <c r="B22" s="202" t="inlineStr">
        <is>
          <t>8x</t>
        </is>
      </c>
      <c r="C22" s="127" t="n"/>
      <c r="D22" s="136" t="inlineStr">
        <is>
          <t>Segments under 5,000 contacts (Revinate 2025)</t>
        </is>
      </c>
      <c r="E22" s="204" t="inlineStr">
        <is>
          <t>https://www.revinate.com/blog/email-marketing-benchmark-2025/</t>
        </is>
      </c>
      <c r="F22" s="127" t="n"/>
      <c r="G22" s="127" t="n"/>
    </row>
    <row r="23" ht="15" customHeight="1" s="125">
      <c r="A23" s="127" t="n"/>
      <c r="B23" s="127" t="n"/>
      <c r="C23" s="127" t="n"/>
      <c r="D23" s="127" t="n"/>
      <c r="E23" s="127" t="n"/>
      <c r="F23" s="127" t="n"/>
      <c r="G23" s="127" t="n"/>
    </row>
    <row r="24" ht="24" customHeight="1" s="125">
      <c r="A24" s="129" t="inlineStr">
        <is>
          <t>INDUSTRY DATA POINTS — SOURCED CLAIMS</t>
        </is>
      </c>
      <c r="B24" s="130" t="n"/>
      <c r="C24" s="130" t="n"/>
      <c r="D24" s="130" t="n"/>
      <c r="E24" s="130" t="n"/>
      <c r="F24" s="130" t="n"/>
      <c r="G24" s="130" t="n"/>
    </row>
    <row r="25" ht="21.75" customHeight="1" s="125">
      <c r="A25" s="131" t="inlineStr">
        <is>
          <t>Claim</t>
        </is>
      </c>
      <c r="B25" s="132" t="inlineStr">
        <is>
          <t>Value</t>
        </is>
      </c>
      <c r="C25" s="132" t="inlineStr">
        <is>
          <t>Confidence</t>
        </is>
      </c>
      <c r="D25" s="132" t="inlineStr">
        <is>
          <t>Source</t>
        </is>
      </c>
      <c r="E25" s="132" t="inlineStr">
        <is>
          <t>URL</t>
        </is>
      </c>
      <c r="F25" s="133" t="n"/>
      <c r="G25" s="133" t="n"/>
    </row>
    <row r="26" ht="19.5" customHeight="1" s="125">
      <c r="A26" s="134" t="inlineStr">
        <is>
          <t>Travelers using AI for trip planning</t>
        </is>
      </c>
      <c r="B26" s="202" t="inlineStr">
        <is>
          <t>37%</t>
        </is>
      </c>
      <c r="C26" s="183" t="inlineStr">
        <is>
          <t>HIGH</t>
        </is>
      </c>
      <c r="D26" s="136" t="inlineStr">
        <is>
          <t>BCG/NYU March 2026</t>
        </is>
      </c>
      <c r="E26" s="204" t="inlineStr">
        <is>
          <t>https://www.bcg.com/publications/2026/how-ai-transforms-travel-planning</t>
        </is>
      </c>
      <c r="F26" s="127" t="n"/>
      <c r="G26" s="127" t="n"/>
    </row>
    <row r="27" ht="19.5" customHeight="1" s="125">
      <c r="A27" s="138" t="inlineStr">
        <is>
          <t>AI-referred traffic surge YoY</t>
        </is>
      </c>
      <c r="B27" s="202" t="inlineStr">
        <is>
          <t>3,500%</t>
        </is>
      </c>
      <c r="C27" s="183" t="inlineStr">
        <is>
          <t>HIGH</t>
        </is>
      </c>
      <c r="D27" s="136" t="inlineStr">
        <is>
          <t>Adobe Analytics</t>
        </is>
      </c>
      <c r="E27" s="204" t="inlineStr">
        <is>
          <t>https://business.adobe.com/blog/the-latest/adobe-analytics-ai-referral-traffic</t>
        </is>
      </c>
      <c r="F27" s="127" t="n"/>
      <c r="G27" s="127" t="n"/>
    </row>
    <row r="28" ht="19.5" customHeight="1" s="125">
      <c r="A28" s="134" t="inlineStr">
        <is>
          <t>AI citations from OTAs</t>
        </is>
      </c>
      <c r="B28" s="202" t="inlineStr">
        <is>
          <t>55.3%</t>
        </is>
      </c>
      <c r="C28" s="183" t="inlineStr">
        <is>
          <t>HIGH</t>
        </is>
      </c>
      <c r="D28" s="136" t="inlineStr">
        <is>
          <t>Cloudbeds study</t>
        </is>
      </c>
      <c r="E28" s="204" t="inlineStr">
        <is>
          <t>https://www.cloudbeds.com/articles/ai-hotel-recommendations-study/</t>
        </is>
      </c>
      <c r="F28" s="127" t="n"/>
      <c r="G28" s="127" t="n"/>
    </row>
    <row r="29" ht="19.5" customHeight="1" s="125">
      <c r="A29" s="138" t="inlineStr">
        <is>
          <t>AI-recommended branded/large-group</t>
        </is>
      </c>
      <c r="B29" s="202" t="inlineStr">
        <is>
          <t>72.4%</t>
        </is>
      </c>
      <c r="C29" s="183" t="inlineStr">
        <is>
          <t>HIGH</t>
        </is>
      </c>
      <c r="D29" s="136" t="inlineStr">
        <is>
          <t>Cloudbeds study</t>
        </is>
      </c>
      <c r="E29" s="204" t="inlineStr">
        <is>
          <t>https://www.cloudbeds.com/articles/ai-hotel-recommendations-study/</t>
        </is>
      </c>
      <c r="F29" s="127" t="n"/>
      <c r="G29" s="127" t="n"/>
    </row>
    <row r="30" ht="19.5" customHeight="1" s="125">
      <c r="A30" s="134" t="inlineStr">
        <is>
          <t>Travelers using AI tools (broad def)</t>
        </is>
      </c>
      <c r="B30" s="202" t="inlineStr">
        <is>
          <t>91%</t>
        </is>
      </c>
      <c r="C30" s="134" t="inlineStr">
        <is>
          <t>LOW</t>
        </is>
      </c>
      <c r="D30" s="136" t="inlineStr">
        <is>
          <t>Klook/CNBC — likely inflated</t>
        </is>
      </c>
      <c r="E30" s="204" t="inlineStr">
        <is>
          <t>https://www.cnbc.com/2025/06/10/klook-survey-ai-travel-tools.html</t>
        </is>
      </c>
      <c r="F30" s="127" t="n"/>
      <c r="G30" s="127" t="n"/>
    </row>
    <row r="31" ht="19.5" customHeight="1" s="125">
      <c r="A31" s="138" t="inlineStr">
        <is>
          <t>Hotels visible in AI recommendations</t>
        </is>
      </c>
      <c r="B31" s="202" t="inlineStr">
        <is>
          <t>1 in 6</t>
        </is>
      </c>
      <c r="C31" s="180" t="inlineStr">
        <is>
          <t>MEDIUM</t>
        </is>
      </c>
      <c r="D31" s="136" t="inlineStr">
        <is>
          <t>HotelRank.ai — methodology unclear</t>
        </is>
      </c>
      <c r="E31" s="204" t="inlineStr">
        <is>
          <t>https://hotelrank.ai/</t>
        </is>
      </c>
      <c r="F31" s="127" t="n"/>
      <c r="G31" s="127" t="n"/>
    </row>
    <row r="32" ht="19.5" customHeight="1" s="125">
      <c r="A32" s="134" t="inlineStr">
        <is>
          <t>AI-referred conversion vs organic</t>
        </is>
      </c>
      <c r="B32" s="202" t="inlineStr">
        <is>
          <t>3x</t>
        </is>
      </c>
      <c r="C32" s="180" t="inlineStr">
        <is>
          <t>MEDIUM</t>
        </is>
      </c>
      <c r="D32" s="136" t="inlineStr">
        <is>
          <t>Microsoft Clarity — small samples</t>
        </is>
      </c>
      <c r="E32" s="204" t="inlineStr">
        <is>
          <t>https://clarity.microsoft.com/blog/ai-referred-conversion/</t>
        </is>
      </c>
      <c r="F32" s="127" t="n"/>
      <c r="G32" s="127" t="n"/>
    </row>
    <row r="33" ht="19.5" customHeight="1" s="125">
      <c r="A33" s="138" t="inlineStr">
        <is>
          <t>Hotel chains using AI</t>
        </is>
      </c>
      <c r="B33" s="202" t="inlineStr">
        <is>
          <t>78%</t>
        </is>
      </c>
      <c r="C33" s="183" t="inlineStr">
        <is>
          <t>HIGH</t>
        </is>
      </c>
      <c r="D33" s="136" t="inlineStr">
        <is>
          <t>h2c 2025</t>
        </is>
      </c>
      <c r="E33" s="204" t="inlineStr">
        <is>
          <t>https://h2c.com/publications/hotel-technology-study-2025/</t>
        </is>
      </c>
      <c r="F33" s="127" t="n"/>
      <c r="G33" s="127" t="n"/>
    </row>
    <row r="34" ht="19.5" customHeight="1" s="125">
      <c r="A34" s="134" t="inlineStr">
        <is>
          <t>Chains planning AI expansion 12-24mo</t>
        </is>
      </c>
      <c r="B34" s="202" t="inlineStr">
        <is>
          <t>89%</t>
        </is>
      </c>
      <c r="C34" s="183" t="inlineStr">
        <is>
          <t>HIGH</t>
        </is>
      </c>
      <c r="D34" s="136" t="inlineStr">
        <is>
          <t>h2c 2025</t>
        </is>
      </c>
      <c r="E34" s="204" t="inlineStr">
        <is>
          <t>https://h2c.com/publications/hotel-technology-study-2025/</t>
        </is>
      </c>
      <c r="F34" s="127" t="n"/>
      <c r="G34" s="127" t="n"/>
    </row>
    <row r="35" ht="19.5" customHeight="1" s="125">
      <c r="A35" s="138" t="inlineStr">
        <is>
          <t>AI reliance score</t>
        </is>
      </c>
      <c r="B35" s="202" t="inlineStr">
        <is>
          <t>4.7/10</t>
        </is>
      </c>
      <c r="C35" s="183" t="inlineStr">
        <is>
          <t>HIGH</t>
        </is>
      </c>
      <c r="D35" s="136" t="inlineStr">
        <is>
          <t>h2c 2025</t>
        </is>
      </c>
      <c r="E35" s="204" t="inlineStr">
        <is>
          <t>https://h2c.com/publications/hotel-technology-study-2025/</t>
        </is>
      </c>
      <c r="F35" s="127" t="n"/>
      <c r="G35" s="127" t="n"/>
    </row>
    <row r="36" ht="19.5" customHeight="1" s="125">
      <c r="A36" s="134" t="inlineStr">
        <is>
          <t>Chains with company-wide AI strategy</t>
        </is>
      </c>
      <c r="B36" s="202" t="inlineStr">
        <is>
          <t>7%</t>
        </is>
      </c>
      <c r="C36" s="183" t="inlineStr">
        <is>
          <t>HIGH</t>
        </is>
      </c>
      <c r="D36" s="136" t="inlineStr">
        <is>
          <t>h2c 2025</t>
        </is>
      </c>
      <c r="E36" s="204" t="inlineStr">
        <is>
          <t>https://h2c.com/publications/hotel-technology-study-2025/</t>
        </is>
      </c>
      <c r="F36" s="127" t="n"/>
      <c r="G36" s="127" t="n"/>
    </row>
    <row r="37" ht="19.5" customHeight="1" s="125">
      <c r="A37" s="138" t="inlineStr">
        <is>
          <t>Chains with no team reviewing automatable work</t>
        </is>
      </c>
      <c r="B37" s="202" t="inlineStr">
        <is>
          <t>43%</t>
        </is>
      </c>
      <c r="C37" s="183" t="inlineStr">
        <is>
          <t>HIGH</t>
        </is>
      </c>
      <c r="D37" s="136" t="inlineStr">
        <is>
          <t>h2c 2025</t>
        </is>
      </c>
      <c r="E37" s="204" t="inlineStr">
        <is>
          <t>https://h2c.com/publications/hotel-technology-study-2025/</t>
        </is>
      </c>
      <c r="F37" s="127" t="n"/>
      <c r="G37" s="127" t="n"/>
    </row>
    <row r="38" ht="19.5" customHeight="1" s="125">
      <c r="A38" s="134" t="inlineStr">
        <is>
          <t>Hotels spending 2 days/week on reports</t>
        </is>
      </c>
      <c r="B38" s="202" t="inlineStr">
        <is>
          <t>80%</t>
        </is>
      </c>
      <c r="C38" s="183" t="inlineStr">
        <is>
          <t>HIGH</t>
        </is>
      </c>
      <c r="D38" s="136" t="inlineStr">
        <is>
          <t>h2c 2025</t>
        </is>
      </c>
      <c r="E38" s="204" t="inlineStr">
        <is>
          <t>https://h2c.com/publications/hotel-technology-study-2025/</t>
        </is>
      </c>
      <c r="F38" s="127" t="n"/>
      <c r="G38" s="127" t="n"/>
    </row>
    <row r="39" ht="19.5" customHeight="1" s="125">
      <c r="A39" s="138" t="inlineStr">
        <is>
          <t>Hotel marketing spend as % of revenue</t>
        </is>
      </c>
      <c r="B39" s="202" t="inlineStr">
        <is>
          <t>4-6%</t>
        </is>
      </c>
      <c r="C39" s="183" t="inlineStr">
        <is>
          <t>HIGH</t>
        </is>
      </c>
      <c r="D39" s="136" t="inlineStr">
        <is>
          <t>Industry standard; luxury up to 8%</t>
        </is>
      </c>
      <c r="E39" s="136" t="inlineStr">
        <is>
          <t>Industry standard — no single source</t>
        </is>
      </c>
      <c r="F39" s="127" t="n"/>
      <c r="G39" s="127" t="n"/>
    </row>
    <row r="40" ht="19.5" customHeight="1" s="125">
      <c r="A40" s="134" t="inlineStr">
        <is>
          <t>OTA commission range</t>
        </is>
      </c>
      <c r="B40" s="202" t="inlineStr">
        <is>
          <t>15-30%</t>
        </is>
      </c>
      <c r="C40" s="183" t="inlineStr">
        <is>
          <t>HIGH</t>
        </is>
      </c>
      <c r="D40" s="136" t="inlineStr">
        <is>
          <t>Industry standard</t>
        </is>
      </c>
      <c r="E40" s="136" t="inlineStr">
        <is>
          <t>Industry standard — no single source</t>
        </is>
      </c>
      <c r="F40" s="127" t="n"/>
      <c r="G40" s="127" t="n"/>
    </row>
    <row r="41" ht="19.5" customHeight="1" s="125">
      <c r="A41" s="138" t="inlineStr">
        <is>
          <t>Model cost decline per year</t>
        </is>
      </c>
      <c r="B41" s="202" t="inlineStr">
        <is>
          <t>30-50%</t>
        </is>
      </c>
      <c r="C41" s="183" t="inlineStr">
        <is>
          <t>HIGH</t>
        </is>
      </c>
      <c r="D41" s="136" t="inlineStr">
        <is>
          <t>OpenAI/Anthropic/Google pricing trends</t>
        </is>
      </c>
      <c r="E41" s="136" t="inlineStr">
        <is>
          <t>Industry standard — no single source</t>
        </is>
      </c>
      <c r="F41" s="127" t="n"/>
      <c r="G41" s="127" t="n"/>
    </row>
    <row r="42" ht="19.5" customHeight="1" s="125">
      <c r="A42" s="134" t="inlineStr">
        <is>
          <t>AI-native cos: fewer employees at same rev</t>
        </is>
      </c>
      <c r="B42" s="202" t="inlineStr">
        <is>
          <t>34%</t>
        </is>
      </c>
      <c r="C42" s="183" t="inlineStr">
        <is>
          <t>HIGH</t>
        </is>
      </c>
      <c r="D42" s="136" t="inlineStr">
        <is>
          <t>Ravio August 2025</t>
        </is>
      </c>
      <c r="E42" s="204" t="inlineStr">
        <is>
          <t>https://ravio.com/reports/ai-native-compensation-2025/</t>
        </is>
      </c>
      <c r="F42" s="127" t="n"/>
      <c r="G42" s="127" t="n"/>
    </row>
    <row r="43" ht="19.5" customHeight="1" s="125">
      <c r="A43" s="138" t="inlineStr">
        <is>
          <t>AI-native cos: higher pay per head</t>
        </is>
      </c>
      <c r="B43" s="202" t="inlineStr">
        <is>
          <t>30%</t>
        </is>
      </c>
      <c r="C43" s="183" t="inlineStr">
        <is>
          <t>HIGH</t>
        </is>
      </c>
      <c r="D43" s="136" t="inlineStr">
        <is>
          <t>Ravio August 2025</t>
        </is>
      </c>
      <c r="E43" s="204" t="inlineStr">
        <is>
          <t>https://ravio.com/reports/ai-native-compensation-2025/</t>
        </is>
      </c>
      <c r="F43" s="127" t="n"/>
      <c r="G43" s="127" t="n"/>
    </row>
    <row r="44" ht="19.5" customHeight="1" s="125">
      <c r="A44" s="134" t="inlineStr">
        <is>
          <t>SaaS median RPE (private)</t>
        </is>
      </c>
      <c r="B44" s="202" t="inlineStr">
        <is>
          <t>$129K</t>
        </is>
      </c>
      <c r="C44" s="183" t="inlineStr">
        <is>
          <t>HIGH</t>
        </is>
      </c>
      <c r="D44" s="136" t="inlineStr">
        <is>
          <t>SaaS Capital 2025, 1,000+ cos</t>
        </is>
      </c>
      <c r="E44" s="204" t="inlineStr">
        <is>
          <t>https://www.saas-capital.com/research/spending-benchmarks-2025/</t>
        </is>
      </c>
      <c r="F44" s="127" t="n"/>
      <c r="G44" s="127" t="n"/>
    </row>
    <row r="45" ht="19.5" customHeight="1" s="125">
      <c r="A45" s="138" t="inlineStr">
        <is>
          <t>Midjourney RPE</t>
        </is>
      </c>
      <c r="B45" s="202" t="inlineStr">
        <is>
          <t>$4.7M</t>
        </is>
      </c>
      <c r="C45" s="183" t="inlineStr">
        <is>
          <t>HIGH</t>
        </is>
      </c>
      <c r="D45" s="136" t="inlineStr">
        <is>
          <t>Getlatka/Sacra 2025</t>
        </is>
      </c>
      <c r="E45" s="204" t="inlineStr">
        <is>
          <t>https://getlatka.com/companies/midjourney</t>
        </is>
      </c>
      <c r="F45" s="127" t="n"/>
      <c r="G45" s="127" t="n"/>
    </row>
    <row r="46" ht="19.5" customHeight="1" s="125">
      <c r="A46" s="134" t="inlineStr">
        <is>
          <t>Cursor RPE</t>
        </is>
      </c>
      <c r="B46" s="202" t="inlineStr">
        <is>
          <t>~$6.7M</t>
        </is>
      </c>
      <c r="C46" s="180" t="inlineStr">
        <is>
          <t>MEDIUM</t>
        </is>
      </c>
      <c r="D46" s="136" t="inlineStr">
        <is>
          <t>TechCrunch March 2026</t>
        </is>
      </c>
      <c r="E46" s="204" t="inlineStr">
        <is>
          <t>https://techcrunch.com/2026/03/cursor-revenue-growth/</t>
        </is>
      </c>
      <c r="F46" s="127" t="n"/>
      <c r="G46" s="127" t="n"/>
    </row>
    <row r="47" ht="19.5" customHeight="1" s="125">
      <c r="A47" s="138" t="inlineStr">
        <is>
          <t>Swiss VC investment 2025</t>
        </is>
      </c>
      <c r="B47" s="202" t="inlineStr">
        <is>
          <t>CHF 2.95B</t>
        </is>
      </c>
      <c r="C47" s="183" t="inlineStr">
        <is>
          <t>HIGH</t>
        </is>
      </c>
      <c r="D47" s="136" t="inlineStr">
        <is>
          <t>Swiss Venture Capital Report 2026</t>
        </is>
      </c>
      <c r="E47" s="204" t="inlineStr">
        <is>
          <t>https://www.startupticker.ch/en/swiss-venture-capital-report</t>
        </is>
      </c>
      <c r="F47" s="127" t="n"/>
      <c r="G47" s="127" t="n"/>
    </row>
    <row r="48" ht="19.5" customHeight="1" s="125">
      <c r="A48" s="134" t="inlineStr">
        <is>
          <t>Swiss ICT investment 2025</t>
        </is>
      </c>
      <c r="B48" s="202" t="inlineStr">
        <is>
          <t>CHF 773.6M</t>
        </is>
      </c>
      <c r="C48" s="183" t="inlineStr">
        <is>
          <t>HIGH</t>
        </is>
      </c>
      <c r="D48" s="136" t="inlineStr">
        <is>
          <t>+150% YoY</t>
        </is>
      </c>
      <c r="E48" s="204" t="inlineStr">
        <is>
          <t>https://www.startupticker.ch/en/swiss-venture-capital-report</t>
        </is>
      </c>
      <c r="F48" s="127" t="n"/>
      <c r="G48" s="127" t="n"/>
    </row>
  </sheetData>
  <mergeCells count="1">
    <mergeCell ref="A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124" min="1" max="1"/>
    <col width="18" customWidth="1" style="124" min="2" max="4"/>
    <col width="24" customWidth="1" style="124" min="5" max="5"/>
  </cols>
  <sheetData>
    <row r="1" ht="27.75" customHeight="1" s="125">
      <c r="A1" s="126" t="inlineStr">
        <is>
          <t>TERCIER — Market Sizing</t>
        </is>
      </c>
      <c r="B1" s="127" t="n"/>
      <c r="C1" s="127" t="n"/>
      <c r="D1" s="127" t="n"/>
      <c r="E1" s="127" t="n"/>
      <c r="F1" s="127" t="n"/>
      <c r="G1" s="127" t="n"/>
    </row>
    <row r="2" ht="18" customHeight="1" s="125">
      <c r="A2" s="128" t="inlineStr">
        <is>
          <t>All inputs in BLUE. All formulas in BLACK. All cross-sheet links in GREEN. Yellow fill = key assumptions.</t>
        </is>
      </c>
      <c r="F2" s="127" t="n"/>
      <c r="G2" s="127" t="n"/>
    </row>
    <row r="3" ht="15" customHeight="1" s="125">
      <c r="A3" s="127" t="n"/>
      <c r="B3" s="127" t="n"/>
      <c r="C3" s="127" t="n"/>
      <c r="D3" s="127" t="n"/>
      <c r="E3" s="127" t="n"/>
      <c r="F3" s="127" t="n"/>
      <c r="G3" s="127" t="n"/>
    </row>
    <row r="4" ht="24" customHeight="1" s="125">
      <c r="A4" s="129" t="inlineStr">
        <is>
          <t>BOTTOM-UP TAM</t>
        </is>
      </c>
      <c r="B4" s="130" t="n"/>
      <c r="C4" s="130" t="n"/>
      <c r="D4" s="130" t="n"/>
      <c r="E4" s="130" t="n"/>
      <c r="F4" s="130" t="n"/>
      <c r="G4" s="130" t="n"/>
    </row>
    <row r="5" ht="21.75" customHeight="1" s="125">
      <c r="A5" s="131" t="inlineStr">
        <is>
          <t>Segment</t>
        </is>
      </c>
      <c r="B5" s="132" t="inlineStr">
        <is>
          <t>Hotels</t>
        </is>
      </c>
      <c r="C5" s="132" t="inlineStr">
        <is>
          <t>ACV (EUR)</t>
        </is>
      </c>
      <c r="D5" s="132" t="inlineStr">
        <is>
          <t>TAM (EUR)</t>
        </is>
      </c>
      <c r="E5" s="132" t="inlineStr">
        <is>
          <t>Source</t>
        </is>
      </c>
      <c r="F5" s="133" t="n"/>
      <c r="G5" s="133" t="n"/>
    </row>
    <row r="6" ht="19.5" customHeight="1" s="125">
      <c r="A6" s="134" t="inlineStr">
        <is>
          <t>European 4-5 star premium</t>
        </is>
      </c>
      <c r="B6" s="137" t="n">
        <v>25000</v>
      </c>
      <c r="C6" s="137" t="n">
        <v>30000</v>
      </c>
      <c r="D6" s="143">
        <f>B6*C6</f>
        <v/>
      </c>
      <c r="E6" s="136" t="inlineStr">
        <is>
          <t>STR data</t>
        </is>
      </c>
      <c r="F6" s="127" t="n"/>
      <c r="G6" s="127" t="n"/>
    </row>
    <row r="7" ht="19.5" customHeight="1" s="125">
      <c r="A7" s="138" t="inlineStr">
        <is>
          <t>European 5-star luxury</t>
        </is>
      </c>
      <c r="B7" s="137" t="n">
        <v>5000</v>
      </c>
      <c r="C7" s="137" t="n">
        <v>48000</v>
      </c>
      <c r="D7" s="144">
        <f>B7*C7</f>
        <v/>
      </c>
      <c r="E7" s="136" t="inlineStr">
        <is>
          <t>STR data</t>
        </is>
      </c>
      <c r="F7" s="127" t="n"/>
      <c r="G7" s="127" t="n"/>
    </row>
    <row r="8" ht="19.5" customHeight="1" s="125">
      <c r="A8" s="134" t="inlineStr">
        <is>
          <t>Middle East premium</t>
        </is>
      </c>
      <c r="B8" s="137" t="n">
        <v>8000</v>
      </c>
      <c r="C8" s="137" t="n">
        <v>36000</v>
      </c>
      <c r="D8" s="143">
        <f>B8*C8</f>
        <v/>
      </c>
      <c r="E8" s="136" t="inlineStr">
        <is>
          <t>STR data</t>
        </is>
      </c>
      <c r="F8" s="127" t="n"/>
      <c r="G8" s="127" t="n"/>
    </row>
    <row r="9" ht="19.5" customHeight="1" s="125">
      <c r="A9" s="138" t="inlineStr">
        <is>
          <t>Asia-Pacific premium</t>
        </is>
      </c>
      <c r="B9" s="137" t="n">
        <v>12000</v>
      </c>
      <c r="C9" s="137" t="n">
        <v>24000</v>
      </c>
      <c r="D9" s="144">
        <f>B9*C9</f>
        <v/>
      </c>
      <c r="E9" s="136" t="inlineStr">
        <is>
          <t>STR data</t>
        </is>
      </c>
      <c r="F9" s="127" t="n"/>
      <c r="G9" s="127" t="n"/>
    </row>
    <row r="10" ht="19.5" customHeight="1" s="125">
      <c r="A10" s="134" t="inlineStr">
        <is>
          <t>Americas premium</t>
        </is>
      </c>
      <c r="B10" s="137" t="n">
        <v>10000</v>
      </c>
      <c r="C10" s="137" t="n">
        <v>30000</v>
      </c>
      <c r="D10" s="143">
        <f>B10*C10</f>
        <v/>
      </c>
      <c r="E10" s="136" t="inlineStr">
        <is>
          <t>STR data</t>
        </is>
      </c>
      <c r="F10" s="127" t="n"/>
      <c r="G10" s="127" t="n"/>
    </row>
    <row r="11" ht="19.5" customHeight="1" s="125">
      <c r="A11" s="180" t="inlineStr">
        <is>
          <t>TOTAL TAM</t>
        </is>
      </c>
      <c r="B11" s="181">
        <f>SUM(B6:B10)</f>
        <v/>
      </c>
      <c r="C11" s="127" t="n"/>
      <c r="D11" s="181">
        <f>SUM(D6:D10)</f>
        <v/>
      </c>
      <c r="E11" s="127" t="n"/>
      <c r="F11" s="127" t="n"/>
      <c r="G11" s="127" t="n"/>
    </row>
    <row r="12" ht="15" customHeight="1" s="125">
      <c r="A12" s="127" t="n"/>
      <c r="B12" s="127" t="n"/>
      <c r="C12" s="127" t="n"/>
      <c r="D12" s="127" t="n"/>
      <c r="E12" s="127" t="n"/>
      <c r="F12" s="127" t="n"/>
      <c r="G12" s="127" t="n"/>
    </row>
    <row r="13" ht="24" customHeight="1" s="125">
      <c r="A13" s="129" t="inlineStr">
        <is>
          <t>SAM — European Focus (Year 1-3)</t>
        </is>
      </c>
      <c r="B13" s="130" t="n"/>
      <c r="C13" s="130" t="n"/>
      <c r="D13" s="130" t="n"/>
      <c r="E13" s="130" t="n"/>
      <c r="F13" s="130" t="n"/>
      <c r="G13" s="130" t="n"/>
    </row>
    <row r="14" ht="19.5" customHeight="1" s="125">
      <c r="A14" s="134" t="inlineStr">
        <is>
          <t>SAM hotels (CH, IT, FR, ES, DACH)</t>
        </is>
      </c>
      <c r="B14" s="137" t="n">
        <v>6000</v>
      </c>
      <c r="C14" s="137" t="n">
        <v>8000</v>
      </c>
      <c r="D14" s="127" t="n"/>
      <c r="E14" s="127" t="n"/>
      <c r="F14" s="127" t="n"/>
      <c r="G14" s="127" t="n"/>
    </row>
    <row r="15" ht="19.5" customHeight="1" s="125">
      <c r="A15" s="180" t="inlineStr">
        <is>
          <t>SAM at EUR 2-3K/mo avg</t>
        </is>
      </c>
      <c r="B15" s="181">
        <f>B14*24000</f>
        <v/>
      </c>
      <c r="C15" s="181">
        <f>C14*36000</f>
        <v/>
      </c>
      <c r="D15" s="127" t="n"/>
      <c r="E15" s="127" t="n"/>
      <c r="F15" s="127" t="n"/>
      <c r="G15" s="127" t="n"/>
    </row>
    <row r="16" ht="15" customHeight="1" s="125">
      <c r="A16" s="127" t="n"/>
      <c r="B16" s="127" t="n"/>
      <c r="C16" s="127" t="n"/>
      <c r="D16" s="127" t="n"/>
      <c r="E16" s="127" t="n"/>
      <c r="F16" s="127" t="n"/>
      <c r="G16" s="127" t="n"/>
    </row>
    <row r="17" ht="24" customHeight="1" s="125">
      <c r="A17" s="129" t="inlineStr">
        <is>
          <t>SOM — 36-Month Penetration</t>
        </is>
      </c>
      <c r="B17" s="130" t="n"/>
      <c r="C17" s="130" t="n"/>
      <c r="D17" s="130" t="n"/>
      <c r="E17" s="130" t="n"/>
      <c r="F17" s="130" t="n"/>
      <c r="G17" s="130" t="n"/>
    </row>
    <row r="18" ht="21.75" customHeight="1" s="125">
      <c r="A18" s="131" t="inlineStr">
        <is>
          <t>Metric</t>
        </is>
      </c>
      <c r="B18" s="132" t="inlineStr">
        <is>
          <t>Low</t>
        </is>
      </c>
      <c r="C18" s="132" t="inlineStr">
        <is>
          <t>High</t>
        </is>
      </c>
      <c r="D18" s="146" t="n"/>
      <c r="E18" s="132" t="inlineStr">
        <is>
          <t>Notes</t>
        </is>
      </c>
      <c r="F18" s="133" t="n"/>
      <c r="G18" s="133" t="n"/>
    </row>
    <row r="19" ht="19.5" customHeight="1" s="125">
      <c r="A19" s="134" t="inlineStr">
        <is>
          <t>Hotels at month 36</t>
        </is>
      </c>
      <c r="B19" s="137" t="n">
        <v>100</v>
      </c>
      <c r="C19" s="137" t="n">
        <v>150</v>
      </c>
      <c r="D19" s="127" t="n"/>
      <c r="E19" s="136" t="inlineStr">
        <is>
          <t>100-150 hotels (business plan target)</t>
        </is>
      </c>
      <c r="F19" s="127" t="n"/>
      <c r="G19" s="127" t="n"/>
    </row>
    <row r="20" ht="19.5" customHeight="1" s="125">
      <c r="A20" s="138" t="inlineStr">
        <is>
          <t>Avg ACV (EUR/mo)</t>
        </is>
      </c>
      <c r="B20" s="137" t="n">
        <v>2000</v>
      </c>
      <c r="C20" s="137" t="n">
        <v>2500</v>
      </c>
      <c r="D20" s="127" t="n"/>
      <c r="E20" s="136" t="inlineStr">
        <is>
          <t>Blended across tiers</t>
        </is>
      </c>
      <c r="F20" s="127" t="n"/>
      <c r="G20" s="127" t="n"/>
    </row>
    <row r="21" ht="19.5" customHeight="1" s="125">
      <c r="A21" s="180" t="inlineStr">
        <is>
          <t>SOM ARR</t>
        </is>
      </c>
      <c r="B21" s="181">
        <f>B19*B20*12</f>
        <v/>
      </c>
      <c r="C21" s="181">
        <f>C19*C20*12</f>
        <v/>
      </c>
      <c r="D21" s="127" t="n"/>
      <c r="E21" s="127" t="n"/>
      <c r="F21" s="127" t="n"/>
      <c r="G21" s="127" t="n"/>
    </row>
    <row r="22" ht="19.5" customHeight="1" s="125">
      <c r="A22" s="138" t="inlineStr">
        <is>
          <t>Expansion revenue uplift</t>
        </is>
      </c>
      <c r="B22" s="142" t="n">
        <v>0.3</v>
      </c>
      <c r="C22" s="142" t="n">
        <v>0.5</v>
      </c>
      <c r="D22" s="127" t="n"/>
      <c r="E22" s="136" t="inlineStr">
        <is>
          <t>30-50% from upsells + group rollouts</t>
        </is>
      </c>
      <c r="F22" s="127" t="n"/>
      <c r="G22" s="127" t="n"/>
    </row>
    <row r="23" ht="19.5" customHeight="1" s="125">
      <c r="A23" s="183" t="inlineStr">
        <is>
          <t>Effective ARR (with expansion)</t>
        </is>
      </c>
      <c r="B23" s="184">
        <f>B21*(1+B22)</f>
        <v/>
      </c>
      <c r="C23" s="184">
        <f>C21*(1+C22)</f>
        <v/>
      </c>
      <c r="D23" s="127" t="n"/>
      <c r="E23" s="127" t="n"/>
      <c r="F23" s="127" t="n"/>
      <c r="G23" s="127" t="n"/>
    </row>
  </sheetData>
  <mergeCells count="1">
    <mergeCell ref="A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9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8" customWidth="1" style="124" min="1" max="1"/>
    <col width="52" customWidth="1" style="124" min="2" max="5"/>
    <col width="16" customWidth="1" style="124" min="6" max="7"/>
  </cols>
  <sheetData>
    <row r="1" ht="27.75" customHeight="1" s="125">
      <c r="A1" s="126" t="inlineStr">
        <is>
          <t>TERCIER AG — Sales Funnel &amp; Customer Acquisition</t>
        </is>
      </c>
      <c r="B1" s="127" t="n"/>
      <c r="C1" s="127" t="n"/>
      <c r="D1" s="127" t="n"/>
      <c r="E1" s="127" t="n"/>
      <c r="F1" s="127" t="n"/>
      <c r="G1" s="127" t="n"/>
      <c r="H1" s="127" t="n"/>
      <c r="I1" s="127" t="n"/>
    </row>
    <row r="2" ht="18" customHeight="1" s="125">
      <c r="A2" s="128" t="inlineStr">
        <is>
          <t>All inputs in BLUE. All formulas in BLACK. All cross-sheet links in GREEN. Yellow fill = key assumptions.</t>
        </is>
      </c>
      <c r="H2" s="127" t="n"/>
      <c r="I2" s="127" t="n"/>
    </row>
    <row r="3" ht="15" customHeight="1" s="125">
      <c r="A3" s="127" t="n"/>
      <c r="B3" s="127" t="n"/>
      <c r="C3" s="127" t="n"/>
      <c r="D3" s="127" t="n"/>
      <c r="E3" s="127" t="n"/>
      <c r="F3" s="127" t="n"/>
      <c r="G3" s="127" t="n"/>
      <c r="H3" s="127" t="n"/>
      <c r="I3" s="127" t="n"/>
    </row>
    <row r="4" ht="24" customHeight="1" s="125">
      <c r="A4" s="129" t="inlineStr">
        <is>
          <t>A. WHY TERCIER IS NOT ENTERPRISE SaaS — CORRECT CATEGORY</t>
        </is>
      </c>
      <c r="B4" s="130" t="n"/>
      <c r="C4" s="130" t="n"/>
      <c r="D4" s="130" t="n"/>
      <c r="E4" s="130" t="n"/>
      <c r="F4" s="130" t="n"/>
      <c r="G4" s="130" t="n"/>
      <c r="H4" s="130" t="n"/>
      <c r="I4" s="130" t="n"/>
    </row>
    <row r="5" ht="15" customHeight="1" s="125">
      <c r="A5" s="127" t="n"/>
      <c r="B5" s="127" t="n"/>
      <c r="C5" s="127" t="n"/>
      <c r="D5" s="127" t="n"/>
      <c r="E5" s="127" t="n"/>
      <c r="F5" s="127" t="n"/>
      <c r="G5" s="127" t="n"/>
      <c r="H5" s="127" t="n"/>
      <c r="I5" s="127" t="n"/>
    </row>
    <row r="6" ht="21.75" customHeight="1" s="125">
      <c r="A6" s="131" t="inlineStr">
        <is>
          <t>Dimension</t>
        </is>
      </c>
      <c r="B6" s="132" t="inlineStr">
        <is>
          <t>Enterprise SaaS (wrong comparison)</t>
        </is>
      </c>
      <c r="C6" s="132" t="inlineStr">
        <is>
          <t>Tercier (actual)</t>
        </is>
      </c>
      <c r="D6" s="132" t="inlineStr">
        <is>
          <t>Implication</t>
        </is>
      </c>
      <c r="E6" s="133" t="n"/>
      <c r="F6" s="133" t="n"/>
      <c r="G6" s="133" t="n"/>
      <c r="H6" s="133" t="n"/>
      <c r="I6" s="133" t="n"/>
    </row>
    <row r="7" ht="19.5" customHeight="1" s="125">
      <c r="A7" s="134" t="inlineStr">
        <is>
          <t>Entry ACV</t>
        </is>
      </c>
      <c r="B7" s="207" t="inlineStr">
        <is>
          <t>EUR 50-200K/yr</t>
        </is>
      </c>
      <c r="C7" s="183" t="inlineStr">
        <is>
          <t>EUR 12-18K/yr (PoV tier)</t>
        </is>
      </c>
      <c r="D7" s="136" t="inlineStr">
        <is>
          <t>Below discretionary spend threshold. GM can approve alone.</t>
        </is>
      </c>
      <c r="E7" s="127" t="n"/>
      <c r="F7" s="127" t="n"/>
      <c r="G7" s="127" t="n"/>
      <c r="H7" s="127" t="n"/>
      <c r="I7" s="127" t="n"/>
    </row>
    <row r="8" ht="19.5" customHeight="1" s="125">
      <c r="A8" s="138" t="inlineStr">
        <is>
          <t>Buyer</t>
        </is>
      </c>
      <c r="B8" s="207" t="inlineStr">
        <is>
          <t>Procurement committee + IT + Finance + Legal</t>
        </is>
      </c>
      <c r="C8" s="183" t="inlineStr">
        <is>
          <t>GM or Marketing Director. One person.</t>
        </is>
      </c>
      <c r="D8" s="136" t="inlineStr">
        <is>
          <t>No committee. No RFP. No vendor evaluation.</t>
        </is>
      </c>
      <c r="E8" s="127" t="n"/>
      <c r="F8" s="127" t="n"/>
      <c r="G8" s="127" t="n"/>
      <c r="H8" s="127" t="n"/>
      <c r="I8" s="127" t="n"/>
    </row>
    <row r="9" ht="19.5" customHeight="1" s="125">
      <c r="A9" s="134" t="inlineStr">
        <is>
          <t>IT integration</t>
        </is>
      </c>
      <c r="B9" s="207" t="inlineStr">
        <is>
          <t>PMS, booking engine, CRM, data migration</t>
        </is>
      </c>
      <c r="C9" s="183" t="inlineStr">
        <is>
          <t>None. AI agents auto-ingest public data.</t>
        </is>
      </c>
      <c r="D9" s="136" t="inlineStr">
        <is>
          <t>No IT approval needed. No integration timeline.</t>
        </is>
      </c>
      <c r="E9" s="127" t="n"/>
      <c r="F9" s="127" t="n"/>
      <c r="G9" s="127" t="n"/>
      <c r="H9" s="127" t="n"/>
      <c r="I9" s="127" t="n"/>
    </row>
    <row r="10" ht="19.5" customHeight="1" s="125">
      <c r="A10" s="138" t="inlineStr">
        <is>
          <t>Competitor displacement</t>
        </is>
      </c>
      <c r="B10" s="207" t="inlineStr">
        <is>
          <t>Replace existing vendor (3-vendor RFP)</t>
        </is>
      </c>
      <c r="C10" s="183" t="inlineStr">
        <is>
          <t>Replace agency spend or fill a gap that has zero alternatives.</t>
        </is>
      </c>
      <c r="D10" s="136" t="inlineStr">
        <is>
          <t>No comparison shopping. "Does this work?" is the only question.</t>
        </is>
      </c>
      <c r="E10" s="127" t="n"/>
      <c r="F10" s="127" t="n"/>
      <c r="G10" s="127" t="n"/>
      <c r="H10" s="127" t="n"/>
      <c r="I10" s="127" t="n"/>
    </row>
    <row r="11" ht="19.5" customHeight="1" s="125">
      <c r="A11" s="134" t="inlineStr">
        <is>
          <t>Time to value</t>
        </is>
      </c>
      <c r="B11" s="207" t="inlineStr">
        <is>
          <t>Weeks/months (implementation + training)</t>
        </is>
      </c>
      <c r="C11" s="183" t="inlineStr">
        <is>
          <t>30 minutes. Sofia logs in, sees her hotel, produces content.</t>
        </is>
      </c>
      <c r="D11" s="136" t="inlineStr">
        <is>
          <t>Demo IS the proof. Paid proof-of-value (EUR 1,000-1,500/mo) answers all objections.</t>
        </is>
      </c>
      <c r="E11" s="127" t="n"/>
      <c r="F11" s="127" t="n"/>
      <c r="G11" s="127" t="n"/>
      <c r="H11" s="127" t="n"/>
      <c r="I11" s="127" t="n"/>
    </row>
    <row r="12" ht="19.5" customHeight="1" s="125">
      <c r="A12" s="138" t="inlineStr">
        <is>
          <t>Onboarding</t>
        </is>
      </c>
      <c r="B12" s="207" t="inlineStr">
        <is>
          <t>30-50 hrs (data migration, training, go-live)</t>
        </is>
      </c>
      <c r="C12" s="183" t="inlineStr">
        <is>
          <t>3-5 hrs (1 call, 1 walkthrough, 1 check-in)</t>
        </is>
      </c>
      <c r="D12" s="136" t="inlineStr">
        <is>
          <t>Product does setup itself. Agents read reviews + build personas = compute, not your time.</t>
        </is>
      </c>
      <c r="E12" s="127" t="n"/>
      <c r="F12" s="127" t="n"/>
      <c r="G12" s="127" t="n"/>
      <c r="H12" s="127" t="n"/>
      <c r="I12" s="127" t="n"/>
    </row>
    <row r="13" ht="19.5" customHeight="1" s="125">
      <c r="A13" s="134" t="inlineStr">
        <is>
          <t>Budget source</t>
        </is>
      </c>
      <c r="B13" s="207" t="inlineStr">
        <is>
          <t>New line item — requires budget approval cycle</t>
        </is>
      </c>
      <c r="C13" s="183" t="inlineStr">
        <is>
          <t>Existing agency budget swap. EUR 3-8K agency → EUR 1-3K Tercier.</t>
        </is>
      </c>
      <c r="D13" s="136" t="inlineStr">
        <is>
          <t>Budget already exists. Tercier is cheaper AND better.</t>
        </is>
      </c>
      <c r="E13" s="127" t="n"/>
      <c r="F13" s="127" t="n"/>
      <c r="G13" s="127" t="n"/>
      <c r="H13" s="127" t="n"/>
      <c r="I13" s="127" t="n"/>
    </row>
    <row r="14" ht="19.5" customHeight="1" s="125">
      <c r="A14" s="138" t="inlineStr">
        <is>
          <t>Decision speed</t>
        </is>
      </c>
      <c r="B14" s="207" t="inlineStr">
        <is>
          <t>90-180 days</t>
        </is>
      </c>
      <c r="C14" s="183" t="inlineStr">
        <is>
          <t>4-8 weeks</t>
        </is>
      </c>
      <c r="D14" s="136" t="inlineStr">
        <is>
          <t>Warm intro + paid proof-of-value + visible output = fast decision.</t>
        </is>
      </c>
      <c r="E14" s="127" t="n"/>
      <c r="F14" s="127" t="n"/>
      <c r="G14" s="127" t="n"/>
      <c r="H14" s="127" t="n"/>
      <c r="I14" s="127" t="n"/>
    </row>
    <row r="15" ht="15" customHeight="1" s="125">
      <c r="A15" s="127" t="n"/>
      <c r="B15" s="127" t="n"/>
      <c r="C15" s="127" t="n"/>
      <c r="D15" s="127" t="n"/>
      <c r="E15" s="127" t="n"/>
      <c r="F15" s="127" t="n"/>
      <c r="G15" s="127" t="n"/>
      <c r="H15" s="127" t="n"/>
      <c r="I15" s="127" t="n"/>
    </row>
    <row r="16" ht="15" customHeight="1" s="125">
      <c r="A16" s="127" t="n"/>
      <c r="B16" s="127" t="n"/>
      <c r="C16" s="127" t="n"/>
      <c r="D16" s="127" t="n"/>
      <c r="E16" s="127" t="n"/>
      <c r="F16" s="127" t="n"/>
      <c r="G16" s="127" t="n"/>
      <c r="H16" s="127" t="n"/>
      <c r="I16" s="127" t="n"/>
    </row>
    <row r="17" ht="24" customHeight="1" s="125">
      <c r="A17" s="129" t="inlineStr">
        <is>
          <t>B. CORRECTED SALES CYCLE — 4-8 WEEKS, NOT 3-5 MONTHS</t>
        </is>
      </c>
      <c r="B17" s="130" t="n"/>
      <c r="C17" s="130" t="n"/>
      <c r="D17" s="130" t="n"/>
      <c r="E17" s="130" t="n"/>
      <c r="F17" s="130" t="n"/>
      <c r="G17" s="130" t="n"/>
      <c r="H17" s="130" t="n"/>
      <c r="I17" s="130" t="n"/>
    </row>
    <row r="18" ht="15" customHeight="1" s="125">
      <c r="A18" s="127" t="n"/>
      <c r="B18" s="127" t="n"/>
      <c r="C18" s="127" t="n"/>
      <c r="D18" s="127" t="n"/>
      <c r="E18" s="127" t="n"/>
      <c r="F18" s="127" t="n"/>
      <c r="G18" s="127" t="n"/>
      <c r="H18" s="127" t="n"/>
      <c r="I18" s="127" t="n"/>
    </row>
    <row r="19" ht="21.75" customHeight="1" s="125">
      <c r="A19" s="131" t="inlineStr">
        <is>
          <t>Week</t>
        </is>
      </c>
      <c r="B19" s="132" t="inlineStr">
        <is>
          <t>What Happens</t>
        </is>
      </c>
      <c r="C19" s="132" t="inlineStr">
        <is>
          <t>Who Decides</t>
        </is>
      </c>
      <c r="D19" s="132" t="inlineStr">
        <is>
          <t>Your Time</t>
        </is>
      </c>
      <c r="E19" s="132" t="inlineStr">
        <is>
          <t>Blocker?</t>
        </is>
      </c>
      <c r="F19" s="133" t="n"/>
      <c r="G19" s="133" t="n"/>
      <c r="H19" s="133" t="n"/>
      <c r="I19" s="133" t="n"/>
    </row>
    <row r="20" ht="19.5" customHeight="1" s="125">
      <c r="A20" s="134" t="inlineStr">
        <is>
          <t>1</t>
        </is>
      </c>
      <c r="B20" s="134" t="inlineStr">
        <is>
          <t>G&amp;C warm intro → 30min demo. Hotel sees OWN data live.</t>
        </is>
      </c>
      <c r="C20" s="134" t="inlineStr">
        <is>
          <t>GM / Marketing Dir</t>
        </is>
      </c>
      <c r="D20" s="134" t="inlineStr">
        <is>
          <t>2 hrs</t>
        </is>
      </c>
      <c r="E20" s="136" t="inlineStr">
        <is>
          <t>None. G&amp;C open the door.</t>
        </is>
      </c>
      <c r="F20" s="127" t="n"/>
      <c r="G20" s="127" t="n"/>
      <c r="H20" s="127" t="n"/>
      <c r="I20" s="127" t="n"/>
    </row>
    <row r="21" ht="19.5" customHeight="1" s="125">
      <c r="A21" s="138" t="inlineStr">
        <is>
          <t>2</t>
        </is>
      </c>
      <c r="B21" s="138" t="inlineStr">
        <is>
          <t>Paid proof-of-value starts (EUR 1,000-1,500/mo). Marketing person logs in, produces first content.</t>
        </is>
      </c>
      <c r="C21" s="138" t="inlineStr">
        <is>
          <t>Marketing person (user)</t>
        </is>
      </c>
      <c r="D21" s="138" t="inlineStr">
        <is>
          <t>1-2 hrs support</t>
        </is>
      </c>
      <c r="E21" s="136" t="inlineStr">
        <is>
          <t>None. Product self-provisions.</t>
        </is>
      </c>
      <c r="F21" s="127" t="n"/>
      <c r="G21" s="127" t="n"/>
      <c r="H21" s="127" t="n"/>
      <c r="I21" s="127" t="n"/>
    </row>
    <row r="22" ht="19.5" customHeight="1" s="125">
      <c r="A22" s="134" t="inlineStr">
        <is>
          <t>3-4</t>
        </is>
      </c>
      <c r="B22" s="134" t="inlineStr">
        <is>
          <t>User produces real outputs. Shows GM: "look what I did in 30 minutes."</t>
        </is>
      </c>
      <c r="C22" s="134" t="inlineStr">
        <is>
          <t>GM sees value bottom-up</t>
        </is>
      </c>
      <c r="D22" s="134" t="inlineStr">
        <is>
          <t>1-2 hrs check-in</t>
        </is>
      </c>
      <c r="E22" s="136" t="inlineStr">
        <is>
          <t>None. Value is visible.</t>
        </is>
      </c>
      <c r="F22" s="127" t="n"/>
      <c r="G22" s="127" t="n"/>
      <c r="H22" s="127" t="n"/>
      <c r="I22" s="127" t="n"/>
    </row>
    <row r="23" ht="19.5" customHeight="1" s="125">
      <c r="A23" s="138" t="inlineStr">
        <is>
          <t>5-6</t>
        </is>
      </c>
      <c r="B23" s="138" t="inlineStr">
        <is>
          <t>Budget discussion. GM compares: agency EUR 5K/mo vs Tercier EUR 1.5K/mo.</t>
        </is>
      </c>
      <c r="C23" s="138" t="inlineStr">
        <is>
          <t>GM or Mkt Dir</t>
        </is>
      </c>
      <c r="D23" s="138" t="inlineStr">
        <is>
          <t>1 hr negotiation</t>
        </is>
      </c>
      <c r="E23" s="136" t="inlineStr">
        <is>
          <t>Only if corporate must approve.</t>
        </is>
      </c>
      <c r="F23" s="127" t="n"/>
      <c r="G23" s="127" t="n"/>
      <c r="H23" s="127" t="n"/>
      <c r="I23" s="127" t="n"/>
    </row>
    <row r="24" ht="19.5" customHeight="1" s="125">
      <c r="A24" s="134" t="inlineStr">
        <is>
          <t>6-8</t>
        </is>
      </c>
      <c r="B24" s="134" t="inlineStr">
        <is>
          <t>Contract signed. Monthly subscription starts.</t>
        </is>
      </c>
      <c r="C24" s="134" t="inlineStr">
        <is>
          <t>GM signs</t>
        </is>
      </c>
      <c r="D24" s="134" t="inlineStr">
        <is>
          <t>1 hr admin</t>
        </is>
      </c>
      <c r="E24" s="136" t="inlineStr">
        <is>
          <t>None.</t>
        </is>
      </c>
      <c r="F24" s="127" t="n"/>
      <c r="G24" s="127" t="n"/>
      <c r="H24" s="127" t="n"/>
      <c r="I24" s="127" t="n"/>
    </row>
    <row r="25" ht="15" customHeight="1" s="125">
      <c r="A25" s="127" t="n"/>
      <c r="B25" s="127" t="n"/>
      <c r="C25" s="127" t="n"/>
      <c r="D25" s="127" t="n"/>
      <c r="E25" s="127" t="n"/>
      <c r="F25" s="127" t="n"/>
      <c r="G25" s="127" t="n"/>
      <c r="H25" s="127" t="n"/>
      <c r="I25" s="127" t="n"/>
    </row>
    <row r="26" ht="19.5" customHeight="1" s="125">
      <c r="A26" s="194" t="inlineStr">
        <is>
          <t>TOTAL: First intro to paying customer</t>
        </is>
      </c>
      <c r="B26" s="129" t="inlineStr">
        <is>
          <t>4-8 weeks</t>
        </is>
      </c>
      <c r="C26" s="127" t="n"/>
      <c r="D26" s="127" t="n"/>
      <c r="E26" s="127" t="n"/>
      <c r="F26" s="127" t="n"/>
      <c r="G26" s="127" t="n"/>
      <c r="H26" s="127" t="n"/>
      <c r="I26" s="127" t="n"/>
    </row>
    <row r="27" ht="19.5" customHeight="1" s="125">
      <c r="A27" s="194" t="inlineStr">
        <is>
          <t>Your active work per deal</t>
        </is>
      </c>
      <c r="B27" s="194" t="inlineStr">
        <is>
          <t>6-8 hours total</t>
        </is>
      </c>
      <c r="C27" s="127" t="n"/>
      <c r="D27" s="127" t="n"/>
      <c r="E27" s="127" t="n"/>
      <c r="F27" s="127" t="n"/>
      <c r="G27" s="127" t="n"/>
      <c r="H27" s="127" t="n"/>
      <c r="I27" s="127" t="n"/>
    </row>
    <row r="28" ht="15" customHeight="1" s="125">
      <c r="A28" s="127" t="n"/>
      <c r="B28" s="127" t="n"/>
      <c r="C28" s="127" t="n"/>
      <c r="D28" s="127" t="n"/>
      <c r="E28" s="127" t="n"/>
      <c r="F28" s="127" t="n"/>
      <c r="G28" s="127" t="n"/>
      <c r="H28" s="127" t="n"/>
      <c r="I28" s="127" t="n"/>
    </row>
    <row r="29" ht="24" customHeight="1" s="125">
      <c r="A29" s="129" t="inlineStr">
        <is>
          <t>C. WHY TERCIER SELLS FAST — THE 5 FRICTION KILLERS</t>
        </is>
      </c>
      <c r="B29" s="130" t="n"/>
      <c r="C29" s="198" t="n"/>
      <c r="D29" s="130" t="n"/>
      <c r="E29" s="130" t="n"/>
      <c r="F29" s="130" t="n"/>
      <c r="G29" s="130" t="n"/>
      <c r="H29" s="130" t="n"/>
      <c r="I29" s="130" t="n"/>
    </row>
    <row r="30" ht="19.5" customHeight="1" s="125">
      <c r="A30" s="134" t="inlineStr">
        <is>
          <t>1. Budget already exists</t>
        </is>
      </c>
      <c r="B30" s="134" t="inlineStr">
        <is>
          <t>Hotels spend EUR 3-8K/mo on agencies. Tercier is EUR 1-3K/mo. It's a swap, not a new expense. The GM doesn't need to "find budget" — they redirect it.</t>
        </is>
      </c>
      <c r="C30" s="195" t="n"/>
      <c r="D30" s="136" t="inlineStr">
        <is>
          <t>TrustYou pricing: EUR 190-350/mo for much less. Agencies: EUR 3-8K/mo per property.</t>
        </is>
      </c>
      <c r="E30" s="204" t="inlineStr">
        <is>
          <t>https://www.trustyou.com/pricing/ai-agents/</t>
        </is>
      </c>
      <c r="F30" s="127" t="n"/>
      <c r="G30" s="127" t="n"/>
      <c r="H30" s="127" t="n"/>
      <c r="I30" s="127" t="n"/>
    </row>
    <row r="31" ht="19.5" customHeight="1" s="125">
      <c r="A31" s="138" t="inlineStr">
        <is>
          <t>2. Zero alternatives exist</t>
        </is>
      </c>
      <c r="B31" s="138" t="inlineStr">
        <is>
          <t>No other tool does property-level commercial execution with AI discovery + personas + multilingual content. The "competitor" is a junior marketer with Google Translate. No RFP needed.</t>
        </is>
      </c>
      <c r="C31" s="195" t="n"/>
      <c r="D31" s="136" t="inlineStr">
        <is>
          <t>YC Partner pitch: "Who is your competitor?" → "The 28-year-old marketing coordinator."</t>
        </is>
      </c>
      <c r="E31" s="127" t="n"/>
      <c r="F31" s="127" t="n"/>
      <c r="G31" s="127" t="n"/>
      <c r="H31" s="127" t="n"/>
      <c r="I31" s="127" t="n"/>
    </row>
    <row r="32" ht="19.5" customHeight="1" s="125">
      <c r="A32" s="134" t="inlineStr">
        <is>
          <t>3. Value visible in 30 minutes</t>
        </is>
      </c>
      <c r="B32" s="134" t="inlineStr">
        <is>
          <t>Demo uses the hotel's OWN data. 2,000 reviews already analyzed. Personas already built. The hotel sees itself, not a generic demo. Sofia produces 5 content pieces in one morning.</t>
        </is>
      </c>
      <c r="C32" s="195" t="n"/>
      <c r="D32" s="136" t="inlineStr">
        <is>
          <t>Product one-pager: Sofia scenario, Hans scenario.</t>
        </is>
      </c>
      <c r="E32" s="127" t="n"/>
      <c r="F32" s="127" t="n"/>
      <c r="G32" s="127" t="n"/>
      <c r="H32" s="127" t="n"/>
      <c r="I32" s="127" t="n"/>
    </row>
    <row r="33" ht="19.5" customHeight="1" s="125">
      <c r="A33" s="138" t="inlineStr">
        <is>
          <t>4. No IT integration</t>
        </is>
      </c>
      <c r="B33" s="138" t="inlineStr">
        <is>
          <t>AI agents ingest public review data, competitor websites, event calendars. Nothing to install. No PMS connection. No data migration. The user logs in and it works.</t>
        </is>
      </c>
      <c r="C33" s="195" t="n"/>
      <c r="D33" s="136" t="inlineStr">
        <is>
          <t>Compare to PMS implementation: 30-45 days post-contract (Priority Software).</t>
        </is>
      </c>
      <c r="E33" s="127" t="n"/>
      <c r="F33" s="127" t="n"/>
      <c r="G33" s="127" t="n"/>
      <c r="H33" s="127" t="n"/>
      <c r="I33" s="127" t="n"/>
    </row>
    <row r="34" ht="19.5" customHeight="1" s="125">
      <c r="A34" s="134" t="inlineStr">
        <is>
          <t>5. Paid proof-of-value de-risks everything</t>
        </is>
      </c>
      <c r="B34" s="134" t="inlineStr">
        <is>
          <t>The hotel runs a 90-day paid proof-of-value at EUR 1,000-1,500/mo. The marketing person uses it for real work. If the output is good, the GM sees it. Decision becomes obvious.</t>
        </is>
      </c>
      <c r="C34" s="127" t="n"/>
      <c r="D34" s="136" t="inlineStr">
        <is>
          <t>91% of travelers use AI for planning (BCG/NYU March 2026). Hotels are already scared.</t>
        </is>
      </c>
      <c r="E34" s="127" t="n"/>
      <c r="F34" s="127" t="n"/>
      <c r="G34" s="127" t="n"/>
      <c r="H34" s="127" t="n"/>
      <c r="I34" s="127" t="n"/>
    </row>
    <row r="35" ht="15" customHeight="1" s="125">
      <c r="A35" s="127" t="n"/>
      <c r="B35" s="127" t="n"/>
      <c r="C35" s="127" t="n"/>
      <c r="D35" s="127" t="n"/>
      <c r="E35" s="127" t="n"/>
      <c r="F35" s="127" t="n"/>
      <c r="G35" s="127" t="n"/>
      <c r="H35" s="127" t="n"/>
      <c r="I35" s="127" t="n"/>
    </row>
    <row r="36" ht="15" customHeight="1" s="125">
      <c r="A36" s="127" t="n"/>
      <c r="B36" s="127" t="n"/>
      <c r="C36" s="127" t="n"/>
      <c r="D36" s="127" t="n"/>
      <c r="E36" s="127" t="n"/>
      <c r="F36" s="127" t="n"/>
      <c r="G36" s="127" t="n"/>
      <c r="H36" s="127" t="n"/>
      <c r="I36" s="127" t="n"/>
    </row>
    <row r="37" ht="24" customHeight="1" s="125">
      <c r="A37" s="129" t="inlineStr">
        <is>
          <t>D. CORRECTED PIPELINE: 21 HOTELS IN 12 MONTHS (ACHIEVABLE WITH GROUP DEALS)</t>
        </is>
      </c>
      <c r="B37" s="130" t="n"/>
      <c r="C37" s="130" t="n"/>
      <c r="D37" s="130" t="n"/>
      <c r="E37" s="130" t="n"/>
      <c r="F37" s="130" t="n"/>
      <c r="G37" s="130" t="n"/>
      <c r="H37" s="130" t="n"/>
      <c r="I37" s="130" t="n"/>
    </row>
    <row r="38" ht="15" customHeight="1" s="125">
      <c r="A38" s="127" t="n"/>
      <c r="B38" s="127" t="n"/>
      <c r="C38" s="127" t="n"/>
      <c r="D38" s="127" t="n"/>
      <c r="E38" s="127" t="n"/>
      <c r="F38" s="127" t="n"/>
      <c r="G38" s="127" t="n"/>
      <c r="H38" s="127" t="n"/>
      <c r="I38" s="127" t="n"/>
    </row>
    <row r="39" ht="21.75" customHeight="1" s="125">
      <c r="A39" s="131" t="inlineStr">
        <is>
          <t>Month</t>
        </is>
      </c>
      <c r="B39" s="132" t="inlineStr">
        <is>
          <t>New Demos</t>
        </is>
      </c>
      <c r="C39" s="132" t="inlineStr">
        <is>
          <t>In Trial</t>
        </is>
      </c>
      <c r="D39" s="132" t="inlineStr">
        <is>
          <t>Closing</t>
        </is>
      </c>
      <c r="E39" s="132" t="inlineStr">
        <is>
          <t>Paying (cumul)</t>
        </is>
      </c>
      <c r="F39" s="132" t="inlineStr">
        <is>
          <t>MRR (EUR)</t>
        </is>
      </c>
      <c r="G39" s="132" t="inlineStr">
        <is>
          <t>Your Focus</t>
        </is>
      </c>
      <c r="H39" s="133" t="n"/>
      <c r="I39" s="133" t="n"/>
    </row>
    <row r="40" ht="19.5" customHeight="1" s="125">
      <c r="A40" s="148" t="n">
        <v>1</v>
      </c>
      <c r="B40" s="148" t="n">
        <v>4</v>
      </c>
      <c r="C40" s="148" t="n">
        <v>0</v>
      </c>
      <c r="D40" s="148" t="n">
        <v>0</v>
      </c>
      <c r="E40" s="208" t="n">
        <v>0</v>
      </c>
      <c r="F40" s="209" t="n">
        <v>0</v>
      </c>
      <c r="G40" s="136" t="inlineStr">
        <is>
          <t>Product polish. First 4 demos via G&amp;C + pilot.</t>
        </is>
      </c>
      <c r="H40" s="127" t="n"/>
      <c r="I40" s="127" t="n"/>
    </row>
    <row r="41" ht="19.5" customHeight="1" s="125">
      <c r="A41" s="187" t="n">
        <v>2</v>
      </c>
      <c r="B41" s="187" t="n">
        <v>3</v>
      </c>
      <c r="C41" s="187" t="n">
        <v>3</v>
      </c>
      <c r="D41" s="187" t="n">
        <v>0</v>
      </c>
      <c r="E41" s="208" t="n">
        <v>1</v>
      </c>
      <c r="F41" s="209" t="n">
        <v>1250</v>
      </c>
      <c r="G41" s="136" t="inlineStr">
        <is>
          <t>Pilot converts. 3 trials running. Demos continue.</t>
        </is>
      </c>
      <c r="H41" s="127" t="n"/>
      <c r="I41" s="127" t="n"/>
    </row>
    <row r="42" ht="19.5" customHeight="1" s="125">
      <c r="A42" s="148" t="n">
        <v>3</v>
      </c>
      <c r="B42" s="148" t="n">
        <v>3</v>
      </c>
      <c r="C42" s="148" t="n">
        <v>4</v>
      </c>
      <c r="D42" s="148" t="n">
        <v>2</v>
      </c>
      <c r="E42" s="208" t="n">
        <v>2</v>
      </c>
      <c r="F42" s="209" t="n">
        <v>2500</v>
      </c>
      <c r="G42" s="136" t="inlineStr">
        <is>
          <t>2 trial conversions. Pipeline filling fast.</t>
        </is>
      </c>
      <c r="H42" s="127" t="n"/>
      <c r="I42" s="127" t="n"/>
    </row>
    <row r="43" ht="19.5" customHeight="1" s="125">
      <c r="A43" s="187" t="n">
        <v>4</v>
      </c>
      <c r="B43" s="187" t="n">
        <v>4</v>
      </c>
      <c r="C43" s="187" t="n">
        <v>3</v>
      </c>
      <c r="D43" s="187" t="n">
        <v>2</v>
      </c>
      <c r="E43" s="208" t="n">
        <v>4</v>
      </c>
      <c r="F43" s="209" t="n">
        <v>5000</v>
      </c>
      <c r="G43" s="136" t="inlineStr">
        <is>
          <t>2 more close. G&amp;C referrals accelerating.</t>
        </is>
      </c>
      <c r="H43" s="127" t="n"/>
      <c r="I43" s="127" t="n"/>
    </row>
    <row r="44" ht="19.5" customHeight="1" s="125">
      <c r="A44" s="148" t="n">
        <v>5</v>
      </c>
      <c r="B44" s="148" t="n">
        <v>3</v>
      </c>
      <c r="C44" s="148" t="n">
        <v>4</v>
      </c>
      <c r="D44" s="148" t="n">
        <v>2</v>
      </c>
      <c r="E44" s="208" t="n">
        <v>6</v>
      </c>
      <c r="F44" s="209" t="n">
        <v>7500</v>
      </c>
      <c r="G44" s="136" t="inlineStr">
        <is>
          <t>Word of mouth from first 4 hotels.</t>
        </is>
      </c>
      <c r="H44" s="127" t="n"/>
      <c r="I44" s="127" t="n"/>
    </row>
    <row r="45" ht="19.5" customHeight="1" s="125">
      <c r="A45" s="187" t="n">
        <v>6</v>
      </c>
      <c r="B45" s="187" t="n">
        <v>3</v>
      </c>
      <c r="C45" s="187" t="n">
        <v>3</v>
      </c>
      <c r="D45" s="187" t="n">
        <v>2</v>
      </c>
      <c r="E45" s="183" t="n">
        <v>8</v>
      </c>
      <c r="F45" s="184" t="n">
        <v>10000</v>
      </c>
      <c r="G45" s="136" t="inlineStr">
        <is>
          <t>BREAKEVEN. EUR 10K MRR. Upsells starting.</t>
        </is>
      </c>
      <c r="H45" s="127" t="n"/>
      <c r="I45" s="127" t="n"/>
    </row>
    <row r="46" ht="19.5" customHeight="1" s="125">
      <c r="A46" s="148" t="n">
        <v>7</v>
      </c>
      <c r="B46" s="148" t="n">
        <v>3</v>
      </c>
      <c r="C46" s="148" t="n">
        <v>3</v>
      </c>
      <c r="D46" s="148" t="n">
        <v>2</v>
      </c>
      <c r="E46" s="183" t="n">
        <v>10</v>
      </c>
      <c r="F46" s="184" t="n">
        <v>13500</v>
      </c>
      <c r="G46" s="136" t="inlineStr">
        <is>
          <t>Some hotels upgrade to Intelligence+Content tier.</t>
        </is>
      </c>
      <c r="H46" s="127" t="n"/>
      <c r="I46" s="127" t="n"/>
    </row>
    <row r="47" ht="19.5" customHeight="1" s="125">
      <c r="A47" s="187" t="n">
        <v>8</v>
      </c>
      <c r="B47" s="187" t="n">
        <v>3</v>
      </c>
      <c r="C47" s="187" t="n">
        <v>3</v>
      </c>
      <c r="D47" s="187" t="n">
        <v>2</v>
      </c>
      <c r="E47" s="183" t="n">
        <v>12</v>
      </c>
      <c r="F47" s="184" t="n">
        <v>17000</v>
      </c>
      <c r="G47" s="136" t="inlineStr">
        <is>
          <t>Referral flywheel: existing hotels intro to peers.</t>
        </is>
      </c>
      <c r="H47" s="127" t="n"/>
      <c r="I47" s="127" t="n"/>
    </row>
    <row r="48" ht="19.5" customHeight="1" s="125">
      <c r="A48" s="148" t="n">
        <v>9</v>
      </c>
      <c r="B48" s="148" t="n">
        <v>4</v>
      </c>
      <c r="C48" s="148" t="n">
        <v>4</v>
      </c>
      <c r="D48" s="148" t="n">
        <v>2</v>
      </c>
      <c r="E48" s="183" t="n">
        <v>14</v>
      </c>
      <c r="F48" s="184" t="n">
        <v>21000</v>
      </c>
      <c r="G48" s="136" t="inlineStr">
        <is>
          <t>Q4 budget season: hotels plan for next year.</t>
        </is>
      </c>
      <c r="H48" s="127" t="n"/>
      <c r="I48" s="127" t="n"/>
    </row>
    <row r="49" ht="19.5" customHeight="1" s="125">
      <c r="A49" s="187" t="n">
        <v>10</v>
      </c>
      <c r="B49" s="187" t="n">
        <v>3</v>
      </c>
      <c r="C49" s="187" t="n">
        <v>3</v>
      </c>
      <c r="D49" s="187" t="n">
        <v>2</v>
      </c>
      <c r="E49" s="183" t="n">
        <v>16</v>
      </c>
      <c r="F49" s="184" t="n">
        <v>24000</v>
      </c>
      <c r="G49" s="136" t="inlineStr">
        <is>
          <t>First group deal in pipeline (5+ properties).</t>
        </is>
      </c>
      <c r="H49" s="127" t="n"/>
      <c r="I49" s="127" t="n"/>
    </row>
    <row r="50" ht="19.5" customHeight="1" s="125">
      <c r="A50" s="148" t="n">
        <v>11</v>
      </c>
      <c r="B50" s="148" t="n">
        <v>2</v>
      </c>
      <c r="C50" s="148" t="n">
        <v>4</v>
      </c>
      <c r="D50" s="148" t="n">
        <v>3</v>
      </c>
      <c r="E50" s="183" t="n">
        <v>19</v>
      </c>
      <c r="F50" s="184" t="n">
        <v>29000</v>
      </c>
      <c r="G50" s="136" t="inlineStr">
        <is>
          <t>Group deal closes. 3 properties at once.</t>
        </is>
      </c>
      <c r="H50" s="127" t="n"/>
      <c r="I50" s="127" t="n"/>
    </row>
    <row r="51" ht="19.5" customHeight="1" s="125">
      <c r="A51" s="187" t="n">
        <v>12</v>
      </c>
      <c r="B51" s="187" t="n">
        <v>2</v>
      </c>
      <c r="C51" s="187" t="n">
        <v>3</v>
      </c>
      <c r="D51" s="187" t="n">
        <v>2</v>
      </c>
      <c r="E51" s="183" t="n">
        <v>21</v>
      </c>
      <c r="F51" s="184" t="n">
        <v>33000</v>
      </c>
      <c r="G51" s="136" t="inlineStr">
        <is>
          <t>Year-end: 21 hotels. EUR 33K MRR. CS hire live.</t>
        </is>
      </c>
      <c r="H51" s="127" t="n"/>
      <c r="I51" s="127" t="n"/>
    </row>
    <row r="52" ht="15" customHeight="1" s="125">
      <c r="A52" s="127" t="n"/>
      <c r="B52" s="127" t="n"/>
      <c r="C52" s="127" t="n"/>
      <c r="D52" s="127" t="n"/>
      <c r="E52" s="127" t="n"/>
      <c r="F52" s="127" t="n"/>
      <c r="G52" s="127" t="n"/>
      <c r="H52" s="127" t="n"/>
      <c r="I52" s="127" t="n"/>
    </row>
    <row r="53" ht="15" customHeight="1" s="125">
      <c r="A53" s="127" t="n"/>
      <c r="B53" s="127" t="n"/>
      <c r="C53" s="127" t="n"/>
      <c r="D53" s="127" t="n"/>
      <c r="E53" s="127" t="n"/>
      <c r="F53" s="127" t="n"/>
      <c r="G53" s="127" t="n"/>
      <c r="H53" s="127" t="n"/>
      <c r="I53" s="127" t="n"/>
    </row>
    <row r="54" ht="24" customHeight="1" s="125">
      <c r="A54" s="129" t="inlineStr">
        <is>
          <t>E. KEY ASSUMPTIONS</t>
        </is>
      </c>
      <c r="B54" s="130" t="n"/>
      <c r="C54" s="198" t="n"/>
      <c r="D54" s="198" t="n"/>
      <c r="E54" s="198" t="n"/>
      <c r="F54" s="130" t="n"/>
      <c r="G54" s="130" t="n"/>
      <c r="H54" s="130" t="n"/>
      <c r="I54" s="130" t="n"/>
    </row>
    <row r="55" ht="19.5" customHeight="1" s="125">
      <c r="A55" s="180" t="inlineStr">
        <is>
          <t>G&amp;C provide 3-4 warm intros/month</t>
        </is>
      </c>
      <c r="B55" s="134" t="inlineStr">
        <is>
          <t>This is the engine. Their hospitality network skips cold outreach entirely.</t>
        </is>
      </c>
      <c r="C55" s="195" t="n"/>
      <c r="D55" s="195" t="n"/>
      <c r="E55" s="195" t="n"/>
      <c r="F55" s="127" t="n"/>
      <c r="G55" s="127" t="n"/>
      <c r="H55" s="127" t="n"/>
      <c r="I55" s="127" t="n"/>
    </row>
    <row r="56" ht="19.5" customHeight="1" s="125">
      <c r="A56" s="183" t="inlineStr">
        <is>
          <t>Sales cycle: 4-8 weeks (not 3-5 months)</t>
        </is>
      </c>
      <c r="B56" s="138" t="inlineStr">
        <is>
          <t>Low ACV, no IT integration, no RFP, paid proof-of-value, budget swap. This is tool-tier sales, not enterprise procurement.</t>
        </is>
      </c>
      <c r="C56" s="195" t="n"/>
      <c r="D56" s="195" t="n"/>
      <c r="E56" s="195" t="n"/>
      <c r="F56" s="127" t="n"/>
      <c r="G56" s="127" t="n"/>
      <c r="H56" s="127" t="n"/>
      <c r="I56" s="127" t="n"/>
    </row>
    <row r="57" ht="19.5" customHeight="1" s="125">
      <c r="A57" s="183" t="inlineStr">
        <is>
          <t>Onboarding: 3-5 hours per hotel (not 30-50)</t>
        </is>
      </c>
      <c r="B57" s="134" t="inlineStr">
        <is>
          <t>AI agents self-provision. Reviews ingested automatically. Personas built by compute. You do 1 call + 1 walkthrough.</t>
        </is>
      </c>
      <c r="C57" s="195" t="n"/>
      <c r="D57" s="195" t="n"/>
      <c r="E57" s="195" t="n"/>
      <c r="F57" s="127" t="n"/>
      <c r="G57" s="127" t="n"/>
      <c r="H57" s="127" t="n"/>
      <c r="I57" s="127" t="n"/>
    </row>
    <row r="58" ht="19.5" customHeight="1" s="125">
      <c r="A58" s="183" t="inlineStr">
        <is>
          <t>PoV tier EUR 1-1.5K/mo = instant approval</t>
        </is>
      </c>
      <c r="B58" s="138" t="inlineStr">
        <is>
          <t>Below most hotel discretionary thresholds. GM approves without corporate.</t>
        </is>
      </c>
      <c r="C58" s="195" t="n"/>
      <c r="D58" s="195" t="n"/>
      <c r="E58" s="195" t="n"/>
      <c r="F58" s="127" t="n"/>
      <c r="G58" s="127" t="n"/>
      <c r="H58" s="127" t="n"/>
      <c r="I58" s="127" t="n"/>
    </row>
    <row r="59" ht="19.5" customHeight="1" s="125">
      <c r="A59" s="134" t="inlineStr">
        <is>
          <t>Paid proof-of-value converts 40-50% with warm intros</t>
        </is>
      </c>
      <c r="B59" s="134" t="inlineStr">
        <is>
          <t>Product proves itself with hotel's OWN data. No generic demo. Value is visible in 30 minutes.</t>
        </is>
      </c>
      <c r="C59" s="195" t="n"/>
      <c r="D59" s="195" t="n"/>
      <c r="E59" s="195" t="n"/>
      <c r="F59" s="127" t="n"/>
      <c r="G59" s="127" t="n"/>
      <c r="H59" s="127" t="n"/>
      <c r="I59" s="127" t="n"/>
    </row>
    <row r="60" ht="19.5" customHeight="1" s="125">
      <c r="A60" s="207" t="inlineStr">
        <is>
          <t>Month 1 = pilot conversion + first demos</t>
        </is>
      </c>
      <c r="B60" s="138" t="inlineStr">
        <is>
          <t>G&amp;C's existing pilot client converts immediately. First 4 intros happen in parallel.</t>
        </is>
      </c>
      <c r="C60" s="195" t="n"/>
      <c r="D60" s="195" t="n"/>
      <c r="E60" s="195" t="n"/>
      <c r="F60" s="127" t="n"/>
      <c r="G60" s="127" t="n"/>
      <c r="H60" s="127" t="n"/>
      <c r="I60" s="127" t="n"/>
    </row>
    <row r="61" ht="19.5" customHeight="1" s="125">
      <c r="A61" s="134" t="inlineStr">
        <is>
          <t>Group deal by month 10-11</t>
        </is>
      </c>
      <c r="B61" s="134" t="inlineStr">
        <is>
          <t>Once 1 property in a group uses Tercier, the regional director sees it and wants it for all properties.</t>
        </is>
      </c>
      <c r="C61" s="195" t="n"/>
      <c r="D61" s="195" t="n"/>
      <c r="E61" s="195" t="n"/>
      <c r="F61" s="127" t="n"/>
      <c r="G61" s="127" t="n"/>
      <c r="H61" s="127" t="n"/>
      <c r="I61" s="127" t="n"/>
    </row>
    <row r="62" ht="19.5" customHeight="1" s="125">
      <c r="A62" s="183" t="inlineStr">
        <is>
          <t>21 hotels by month 12 (not 15)</t>
        </is>
      </c>
      <c r="B62" s="138" t="inlineStr">
        <is>
          <t>With 4-8 week cycles and 3-4 intros/month, 15 was conservative. 20+ is realistic with group deals.</t>
        </is>
      </c>
      <c r="C62" s="127" t="n"/>
      <c r="D62" s="127" t="n"/>
      <c r="E62" s="127" t="n"/>
      <c r="F62" s="127" t="n"/>
      <c r="G62" s="127" t="n"/>
      <c r="H62" s="127" t="n"/>
      <c r="I62" s="127" t="n"/>
    </row>
    <row r="63" ht="15" customHeight="1" s="125">
      <c r="A63" s="127" t="n"/>
      <c r="B63" s="127" t="n"/>
      <c r="C63" s="127" t="n"/>
      <c r="D63" s="127" t="n"/>
      <c r="E63" s="127" t="n"/>
      <c r="F63" s="127" t="n"/>
      <c r="G63" s="127" t="n"/>
      <c r="H63" s="127" t="n"/>
      <c r="I63" s="127" t="n"/>
    </row>
    <row r="64" ht="15" customHeight="1" s="125">
      <c r="A64" s="127" t="n"/>
      <c r="B64" s="127" t="n"/>
      <c r="C64" s="127" t="n"/>
      <c r="D64" s="127" t="n"/>
      <c r="E64" s="127" t="n"/>
      <c r="F64" s="127" t="n"/>
      <c r="G64" s="127" t="n"/>
      <c r="H64" s="127" t="n"/>
      <c r="I64" s="127" t="n"/>
    </row>
    <row r="65" ht="24" customHeight="1" s="125">
      <c r="A65" s="129" t="inlineStr">
        <is>
          <t>F. YOUR TYPICAL WEEK AT MONTH 6 (8 paying, 3 in trial, 3 in pipeline)</t>
        </is>
      </c>
      <c r="B65" s="130" t="n"/>
      <c r="C65" s="130" t="n"/>
      <c r="D65" s="130" t="n"/>
      <c r="E65" s="130" t="n"/>
      <c r="F65" s="130" t="n"/>
      <c r="G65" s="130" t="n"/>
      <c r="H65" s="130" t="n"/>
      <c r="I65" s="130" t="n"/>
    </row>
    <row r="66" ht="21.75" customHeight="1" s="125">
      <c r="A66" s="131" t="inlineStr">
        <is>
          <t>Activity</t>
        </is>
      </c>
      <c r="B66" s="132" t="inlineStr">
        <is>
          <t>Hours/Week</t>
        </is>
      </c>
      <c r="C66" s="132" t="inlineStr">
        <is>
          <t>% of Time</t>
        </is>
      </c>
      <c r="D66" s="132" t="inlineStr">
        <is>
          <t>Notes</t>
        </is>
      </c>
      <c r="E66" s="133" t="n"/>
      <c r="F66" s="133" t="n"/>
      <c r="G66" s="133" t="n"/>
      <c r="H66" s="133" t="n"/>
      <c r="I66" s="133" t="n"/>
    </row>
    <row r="67" ht="19.5" customHeight="1" s="125">
      <c r="A67" s="134" t="inlineStr">
        <is>
          <t>Product / engineering</t>
        </is>
      </c>
      <c r="B67" s="148" t="n">
        <v>20</v>
      </c>
      <c r="C67" s="134" t="inlineStr">
        <is>
          <t>40%</t>
        </is>
      </c>
      <c r="D67" s="136" t="inlineStr">
        <is>
          <t>Core platform improvements, new features, prompt engineering, eval loops</t>
        </is>
      </c>
      <c r="E67" s="127" t="n"/>
      <c r="F67" s="127" t="n"/>
      <c r="G67" s="127" t="n"/>
      <c r="H67" s="127" t="n"/>
      <c r="I67" s="127" t="n"/>
    </row>
    <row r="68" ht="19.5" customHeight="1" s="125">
      <c r="A68" s="138" t="inlineStr">
        <is>
          <t>Demos + follow-ups (3-4 new/week)</t>
        </is>
      </c>
      <c r="B68" s="187" t="n">
        <v>6</v>
      </c>
      <c r="C68" s="138" t="inlineStr">
        <is>
          <t>12%</t>
        </is>
      </c>
      <c r="D68" s="136" t="inlineStr">
        <is>
          <t>30min demo + 15min follow-up × 4. G&amp;C pre-qualify.</t>
        </is>
      </c>
      <c r="E68" s="127" t="n"/>
      <c r="F68" s="127" t="n"/>
      <c r="G68" s="127" t="n"/>
      <c r="H68" s="127" t="n"/>
      <c r="I68" s="127" t="n"/>
    </row>
    <row r="69" ht="19.5" customHeight="1" s="125">
      <c r="A69" s="134" t="inlineStr">
        <is>
          <t>Trial support (3 hotels)</t>
        </is>
      </c>
      <c r="B69" s="148" t="n">
        <v>3</v>
      </c>
      <c r="C69" s="134" t="inlineStr">
        <is>
          <t>6%</t>
        </is>
      </c>
      <c r="D69" s="136" t="inlineStr">
        <is>
          <t>Quick check-ins. Product should work without you.</t>
        </is>
      </c>
      <c r="E69" s="127" t="n"/>
      <c r="F69" s="127" t="n"/>
      <c r="G69" s="127" t="n"/>
      <c r="H69" s="127" t="n"/>
      <c r="I69" s="127" t="n"/>
    </row>
    <row r="70" ht="19.5" customHeight="1" s="125">
      <c r="A70" s="138" t="inlineStr">
        <is>
          <t>Customer check-ins (8 hotels)</t>
        </is>
      </c>
      <c r="B70" s="187" t="n">
        <v>4</v>
      </c>
      <c r="C70" s="138" t="inlineStr">
        <is>
          <t>8%</t>
        </is>
      </c>
      <c r="D70" s="136" t="inlineStr">
        <is>
          <t>Monthly 30min call per hotel. Async Slack support.</t>
        </is>
      </c>
      <c r="E70" s="127" t="n"/>
      <c r="F70" s="127" t="n"/>
      <c r="G70" s="127" t="n"/>
      <c r="H70" s="127" t="n"/>
      <c r="I70" s="127" t="n"/>
    </row>
    <row r="71" ht="19.5" customHeight="1" s="125">
      <c r="A71" s="134" t="inlineStr">
        <is>
          <t>Pipeline / G&amp;C coordination</t>
        </is>
      </c>
      <c r="B71" s="148" t="n">
        <v>3</v>
      </c>
      <c r="C71" s="134" t="inlineStr">
        <is>
          <t>6%</t>
        </is>
      </c>
      <c r="D71" s="136" t="inlineStr">
        <is>
          <t>Weekly sync with Guffanti/Corsaro. Who to intro next.</t>
        </is>
      </c>
      <c r="E71" s="127" t="n"/>
      <c r="F71" s="127" t="n"/>
      <c r="G71" s="127" t="n"/>
      <c r="H71" s="127" t="n"/>
      <c r="I71" s="127" t="n"/>
    </row>
    <row r="72" ht="19.5" customHeight="1" s="125">
      <c r="A72" s="138" t="inlineStr">
        <is>
          <t>Content / case studies / marketing</t>
        </is>
      </c>
      <c r="B72" s="187" t="n">
        <v>5</v>
      </c>
      <c r="C72" s="138" t="inlineStr">
        <is>
          <t>10%</t>
        </is>
      </c>
      <c r="D72" s="136" t="inlineStr">
        <is>
          <t>Blog posts, LinkedIn, case studies from paying hotels.</t>
        </is>
      </c>
      <c r="E72" s="127" t="n"/>
      <c r="F72" s="127" t="n"/>
      <c r="G72" s="127" t="n"/>
      <c r="H72" s="127" t="n"/>
      <c r="I72" s="127" t="n"/>
    </row>
    <row r="73" ht="19.5" customHeight="1" s="125">
      <c r="A73" s="134" t="inlineStr">
        <is>
          <t>Admin / Swiss AG / finance</t>
        </is>
      </c>
      <c r="B73" s="148" t="n">
        <v>4</v>
      </c>
      <c r="C73" s="134" t="inlineStr">
        <is>
          <t>8%</t>
        </is>
      </c>
      <c r="D73" s="136" t="inlineStr">
        <is>
          <t>Invoicing, bookkeeping, compliance.</t>
        </is>
      </c>
      <c r="E73" s="127" t="n"/>
      <c r="F73" s="127" t="n"/>
      <c r="G73" s="127" t="n"/>
      <c r="H73" s="127" t="n"/>
      <c r="I73" s="127" t="n"/>
    </row>
    <row r="74" ht="19.5" customHeight="1" s="125">
      <c r="A74" s="138" t="inlineStr">
        <is>
          <t>Strategy / product roadmap</t>
        </is>
      </c>
      <c r="B74" s="187" t="n">
        <v>5</v>
      </c>
      <c r="C74" s="138" t="inlineStr">
        <is>
          <t>10%</t>
        </is>
      </c>
      <c r="D74" s="136" t="inlineStr">
        <is>
          <t>Roadmap, pricing experiments, group deal packaging.</t>
        </is>
      </c>
      <c r="E74" s="127" t="n"/>
      <c r="F74" s="127" t="n"/>
      <c r="G74" s="127" t="n"/>
      <c r="H74" s="127" t="n"/>
      <c r="I74" s="127" t="n"/>
    </row>
    <row r="75" ht="19.5" customHeight="1" s="125">
      <c r="A75" s="194" t="inlineStr">
        <is>
          <t>TOTAL</t>
        </is>
      </c>
      <c r="B75" s="148">
        <f>SUM(B66:B73)</f>
        <v/>
      </c>
      <c r="C75" s="127" t="n"/>
      <c r="D75" s="127" t="n"/>
      <c r="E75" s="127" t="n"/>
      <c r="F75" s="127" t="n"/>
      <c r="G75" s="127" t="n"/>
      <c r="H75" s="127" t="n"/>
      <c r="I75" s="127" t="n"/>
    </row>
    <row r="76" ht="15" customHeight="1" s="125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</row>
    <row r="77" ht="24" customHeight="1" s="125">
      <c r="A77" s="129" t="inlineStr">
        <is>
          <t>G. HONEST RISKS THAT COULD SLOW THIS DOWN</t>
        </is>
      </c>
      <c r="B77" s="130" t="n"/>
      <c r="C77" s="198" t="n"/>
      <c r="D77" s="198" t="n"/>
      <c r="E77" s="198" t="n"/>
      <c r="F77" s="130" t="n"/>
      <c r="G77" s="130" t="n"/>
      <c r="H77" s="130" t="n"/>
      <c r="I77" s="130" t="n"/>
    </row>
    <row r="78" ht="19.5" customHeight="1" s="125">
      <c r="A78" s="207" t="inlineStr">
        <is>
          <t>Chain hotels (not independents) need corporate approval</t>
        </is>
      </c>
      <c r="B78" s="134" t="inlineStr">
        <is>
          <t>Independent GMs approve in 1 call. Chain properties may need regional or HQ sign-off. Solution: start with independents and small groups.</t>
        </is>
      </c>
      <c r="C78" s="195" t="n"/>
      <c r="D78" s="195" t="n"/>
      <c r="E78" s="195" t="n"/>
      <c r="F78" s="127" t="n"/>
      <c r="G78" s="127" t="n"/>
      <c r="H78" s="127" t="n"/>
      <c r="I78" s="127" t="n"/>
    </row>
    <row r="79" ht="19.5" customHeight="1" s="125">
      <c r="A79" s="207" t="inlineStr">
        <is>
          <t>Seasonality: hotels buy tech in Q3-Q4 for next year</t>
        </is>
      </c>
      <c r="B79" s="138" t="inlineStr">
        <is>
          <t>If you launch in Q2, first 2-3 months may be slower. Budget planning peaks September-November.</t>
        </is>
      </c>
      <c r="C79" s="195" t="n"/>
      <c r="D79" s="195" t="n"/>
      <c r="E79" s="195" t="n"/>
      <c r="F79" s="127" t="n"/>
      <c r="G79" s="127" t="n"/>
      <c r="H79" s="127" t="n"/>
      <c r="I79" s="127" t="n"/>
    </row>
    <row r="80" ht="19.5" customHeight="1" s="125">
      <c r="A80" s="207" t="inlineStr">
        <is>
          <t>First 3 hotels dominate your time</t>
        </is>
      </c>
      <c r="B80" s="134" t="inlineStr">
        <is>
          <t>Even at 3-5 hrs onboarding, your first 3 hotels will get extra attention because you're learning. Budget 2x time for first 3.</t>
        </is>
      </c>
      <c r="C80" s="195" t="n"/>
      <c r="D80" s="195" t="n"/>
      <c r="E80" s="195" t="n"/>
      <c r="F80" s="127" t="n"/>
      <c r="G80" s="127" t="n"/>
      <c r="H80" s="127" t="n"/>
      <c r="I80" s="127" t="n"/>
    </row>
    <row r="81" ht="19.5" customHeight="1" s="125">
      <c r="A81" s="207" t="inlineStr">
        <is>
          <t>Product quality must be high from day 1</t>
        </is>
      </c>
      <c r="B81" s="138" t="inlineStr">
        <is>
          <t>Unlike enterprise SaaS with 6-month pilots, hotels judge in week 1 of trial. If the output is mediocre, trial doesn't convert.</t>
        </is>
      </c>
      <c r="C81" s="195" t="n"/>
      <c r="D81" s="195" t="n"/>
      <c r="E81" s="195" t="n"/>
      <c r="F81" s="127" t="n"/>
      <c r="G81" s="127" t="n"/>
      <c r="H81" s="127" t="n"/>
      <c r="I81" s="127" t="n"/>
    </row>
    <row r="82" ht="19.5" customHeight="1" s="125">
      <c r="A82" s="207" t="inlineStr">
        <is>
          <t>Group deals are lumpy</t>
        </is>
      </c>
      <c r="B82" s="134" t="inlineStr">
        <is>
          <t>A 5-property group deal can close in one meeting or take 3 months. Don't count on them for the base case.</t>
        </is>
      </c>
      <c r="C82" s="127" t="n"/>
      <c r="D82" s="127" t="n"/>
      <c r="E82" s="127" t="n"/>
      <c r="F82" s="127" t="n"/>
      <c r="G82" s="127" t="n"/>
      <c r="H82" s="127" t="n"/>
      <c r="I82" s="127" t="n"/>
    </row>
    <row r="83" ht="15" customHeight="1" s="125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</row>
    <row r="84" ht="15" customHeight="1" s="125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</row>
    <row r="85" ht="24" customHeight="1" s="125">
      <c r="A85" s="129" t="inlineStr">
        <is>
          <t>BOTTOM LINE</t>
        </is>
      </c>
      <c r="B85" s="198" t="n"/>
      <c r="C85" s="198" t="n"/>
      <c r="D85" s="198" t="n"/>
      <c r="E85" s="198" t="n"/>
      <c r="F85" s="198" t="n"/>
      <c r="G85" s="130" t="n"/>
      <c r="H85" s="130" t="n"/>
      <c r="I85" s="130" t="n"/>
    </row>
    <row r="86" ht="19.5" customHeight="1" s="125">
      <c r="A86" s="134" t="inlineStr">
        <is>
          <t>Tercier is NOT enterprise SaaS. It is a tool-tier product sold at agency-replacement prices with zero integration friction.</t>
        </is>
      </c>
      <c r="B86" s="195" t="n"/>
      <c r="C86" s="195" t="n"/>
      <c r="D86" s="195" t="n"/>
      <c r="E86" s="195" t="n"/>
      <c r="F86" s="195" t="n"/>
      <c r="G86" s="127" t="n"/>
      <c r="H86" s="127" t="n"/>
      <c r="I86" s="127" t="n"/>
    </row>
    <row r="87" ht="19.5" customHeight="1" s="125">
      <c r="A87" s="138" t="inlineStr">
        <is>
          <t>The sales cycle is 4-8 weeks, not 3-5 months. The demo IS the proof because it uses the hotel's own data.</t>
        </is>
      </c>
      <c r="B87" s="195" t="n"/>
      <c r="C87" s="195" t="n"/>
      <c r="D87" s="195" t="n"/>
      <c r="E87" s="195" t="n"/>
      <c r="F87" s="195" t="n"/>
      <c r="G87" s="127" t="n"/>
      <c r="H87" s="127" t="n"/>
      <c r="I87" s="127" t="n"/>
    </row>
    <row r="88" ht="19.5" customHeight="1" s="125">
      <c r="A88" s="134" t="inlineStr">
        <is>
          <t>Onboarding is 3-5 hours, not 30-50. The AI agents do the setup. You do a call and a walkthrough.</t>
        </is>
      </c>
      <c r="B88" s="195" t="n"/>
      <c r="C88" s="195" t="n"/>
      <c r="D88" s="195" t="n"/>
      <c r="E88" s="195" t="n"/>
      <c r="F88" s="195" t="n"/>
      <c r="G88" s="127" t="n"/>
      <c r="H88" s="127" t="n"/>
      <c r="I88" s="127" t="n"/>
    </row>
    <row r="89" ht="19.5" customHeight="1" s="125">
      <c r="A89" s="138" t="inlineStr">
        <is>
          <t>21 hotels in 12 months is the realistic base case, not 15. 15 was the conservative floor.</t>
        </is>
      </c>
      <c r="B89" s="195" t="n"/>
      <c r="C89" s="195" t="n"/>
      <c r="D89" s="195" t="n"/>
      <c r="E89" s="195" t="n"/>
      <c r="F89" s="195" t="n"/>
      <c r="G89" s="127" t="n"/>
      <c r="H89" s="127" t="n"/>
      <c r="I89" s="127" t="n"/>
    </row>
    <row r="90" ht="19.5" customHeight="1" s="125">
      <c r="A90" s="134" t="inlineStr">
        <is>
          <t>The bottleneck is NOT the hotel's decision speed. It is YOUR capacity to run demos while building product.</t>
        </is>
      </c>
      <c r="B90" s="195" t="n"/>
      <c r="C90" s="195" t="n"/>
      <c r="D90" s="195" t="n"/>
      <c r="E90" s="195" t="n"/>
      <c r="F90" s="195" t="n"/>
      <c r="G90" s="127" t="n"/>
      <c r="H90" s="127" t="n"/>
      <c r="I90" s="127" t="n"/>
    </row>
    <row r="91" ht="19.5" customHeight="1" s="125">
      <c r="A91" s="138" t="inlineStr">
        <is>
          <t>At EUR 10K MRR (month 6-8), you are cash-flow positive. At EUR 33K MRR (month 12), you hire CS lead.</t>
        </is>
      </c>
      <c r="B91" s="127" t="n"/>
      <c r="C91" s="127" t="n"/>
      <c r="D91" s="127" t="n"/>
      <c r="E91" s="127" t="n"/>
      <c r="F91" s="127" t="n"/>
      <c r="G91" s="127" t="n"/>
      <c r="H91" s="127" t="n"/>
      <c r="I91" s="127" t="n"/>
    </row>
  </sheetData>
  <mergeCells count="25">
    <mergeCell ref="A90:F90"/>
    <mergeCell ref="A89:F89"/>
    <mergeCell ref="B55:E55"/>
    <mergeCell ref="B80:E80"/>
    <mergeCell ref="B31:C31"/>
    <mergeCell ref="A86:F86"/>
    <mergeCell ref="B79:E79"/>
    <mergeCell ref="A85:F85"/>
    <mergeCell ref="B54:E54"/>
    <mergeCell ref="B59:E59"/>
    <mergeCell ref="B81:E81"/>
    <mergeCell ref="B56:E56"/>
    <mergeCell ref="B29:C29"/>
    <mergeCell ref="B58:E58"/>
    <mergeCell ref="B77:E77"/>
    <mergeCell ref="B60:E60"/>
    <mergeCell ref="B61:E61"/>
    <mergeCell ref="B30:C30"/>
    <mergeCell ref="B57:E57"/>
    <mergeCell ref="B33:C33"/>
    <mergeCell ref="B78:E78"/>
    <mergeCell ref="A2:G2"/>
    <mergeCell ref="B32:C32"/>
    <mergeCell ref="A88:F88"/>
    <mergeCell ref="A87:F8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6" customWidth="1" style="124" min="1" max="1"/>
    <col width="16" customWidth="1" style="124" min="2" max="6"/>
    <col width="30" customWidth="1" style="124" min="7" max="7"/>
  </cols>
  <sheetData>
    <row r="1" ht="15.75" customHeight="1" s="125">
      <c r="A1" s="210" t="inlineStr">
        <is>
          <t>TERCIER — Scenario A: Operator-Seeded Base Case (MC v2, fast wedge)</t>
        </is>
      </c>
    </row>
    <row r="2" ht="15" customHeight="1" s="125">
      <c r="A2" s="211" t="inlineStr">
        <is>
          <t>Monte Carlo v2: 10,000 simulations. CHF 120-150K initial angel/operator seed, strong network distribution, fast-close wedge, AI-native ops. No institutional VC.</t>
        </is>
      </c>
    </row>
    <row r="3" ht="15" customHeight="1" s="125">
      <c r="A3" s="124" t="inlineStr">
        <is>
          <t>Source: research/synthetic-survey/run-2026-03-22-business-plan-monte-carlo-v2/</t>
        </is>
      </c>
    </row>
    <row r="4" ht="15" customHeight="1" s="125">
      <c r="A4" s="163" t="inlineStr">
        <is>
          <t>HOTEL MILESTONES (active hotels)</t>
        </is>
      </c>
      <c r="B4" s="164" t="n"/>
      <c r="C4" s="164" t="n"/>
      <c r="D4" s="164" t="n"/>
      <c r="E4" s="164" t="n"/>
      <c r="F4" s="164" t="n"/>
      <c r="G4" s="164" t="n"/>
    </row>
    <row r="5" ht="15" customHeight="1" s="125">
      <c r="A5" s="212" t="inlineStr">
        <is>
          <t>Milestone</t>
        </is>
      </c>
      <c r="B5" s="165" t="inlineStr">
        <is>
          <t>P10 (Downside)</t>
        </is>
      </c>
      <c r="C5" s="165" t="inlineStr">
        <is>
          <t>P50 (Base)</t>
        </is>
      </c>
      <c r="D5" s="165" t="inlineStr">
        <is>
          <t>P90 (Upside)</t>
        </is>
      </c>
      <c r="E5" s="165" t="inlineStr">
        <is>
          <t>Business Plan Target</t>
        </is>
      </c>
      <c r="F5" s="213" t="n"/>
      <c r="G5" s="213" t="n"/>
    </row>
    <row r="6" ht="15" customHeight="1" s="125">
      <c r="A6" s="214" t="inlineStr">
        <is>
          <t>Month 6</t>
        </is>
      </c>
      <c r="B6" s="214" t="n"/>
      <c r="C6" s="214" t="n"/>
      <c r="D6" s="214" t="n"/>
      <c r="E6" s="214" t="inlineStr">
        <is>
          <t>2–5 hotels (Stage 1 start)</t>
        </is>
      </c>
      <c r="F6" s="214" t="n"/>
      <c r="G6" s="214" t="n"/>
    </row>
    <row r="7" ht="15" customHeight="1" s="125">
      <c r="A7" s="157" t="inlineStr">
        <is>
          <t>Month 12</t>
        </is>
      </c>
      <c r="B7" s="215" t="n">
        <v>22</v>
      </c>
      <c r="C7" s="215" t="n">
        <v>30</v>
      </c>
      <c r="D7" s="215" t="n">
        <v>39</v>
      </c>
      <c r="E7" s="215" t="inlineStr">
        <is>
          <t>20-35 hotels</t>
        </is>
      </c>
      <c r="F7" s="215" t="n"/>
      <c r="G7" s="157" t="n"/>
    </row>
    <row r="8" ht="15" customHeight="1" s="125">
      <c r="A8" s="214" t="inlineStr">
        <is>
          <t>Month 18</t>
        </is>
      </c>
      <c r="B8" s="216" t="n">
        <v>36</v>
      </c>
      <c r="C8" s="216" t="n">
        <v>47</v>
      </c>
      <c r="D8" s="216" t="n">
        <v>60</v>
      </c>
      <c r="E8" s="216" t="inlineStr">
        <is>
          <t>40-60 hotels (Stage 2)</t>
        </is>
      </c>
      <c r="F8" s="216" t="n"/>
      <c r="G8" s="214" t="n"/>
    </row>
    <row r="9" ht="15" customHeight="1" s="125">
      <c r="A9" s="157" t="inlineStr">
        <is>
          <t>Month 30</t>
        </is>
      </c>
      <c r="B9" s="215" t="n">
        <v>72</v>
      </c>
      <c r="C9" s="215" t="n">
        <v>90</v>
      </c>
      <c r="D9" s="215" t="n">
        <v>111</v>
      </c>
      <c r="E9" s="215" t="inlineStr">
        <is>
          <t>85-120 hotels (Stage 3)</t>
        </is>
      </c>
      <c r="F9" s="215" t="n"/>
      <c r="G9" s="157" t="n"/>
    </row>
    <row r="10" ht="15" customHeight="1" s="125">
      <c r="A10" s="217" t="inlineStr">
        <is>
          <t>Month 36</t>
        </is>
      </c>
      <c r="B10" s="216" t="n">
        <v>92</v>
      </c>
      <c r="C10" s="216" t="n">
        <v>115</v>
      </c>
      <c r="D10" s="216" t="n">
        <v>140</v>
      </c>
      <c r="E10" s="216" t="inlineStr">
        <is>
          <t>115-154 hotels</t>
        </is>
      </c>
      <c r="F10" s="216" t="n"/>
      <c r="G10" s="214" t="n"/>
    </row>
    <row r="11" ht="15" customHeight="1" s="125">
      <c r="A11" s="157" t="inlineStr">
        <is>
          <t>Month 60</t>
        </is>
      </c>
      <c r="B11" s="215" t="n">
        <v>178</v>
      </c>
      <c r="C11" s="215" t="n">
        <v>227</v>
      </c>
      <c r="D11" s="215" t="n">
        <v>282</v>
      </c>
      <c r="E11" s="215" t="inlineStr">
        <is>
          <t>N/A (beyond plan horizon)</t>
        </is>
      </c>
      <c r="F11" s="215" t="n"/>
      <c r="G11" s="157" t="n"/>
    </row>
    <row r="13" ht="15" customHeight="1" s="125">
      <c r="A13" s="163" t="inlineStr">
        <is>
          <t>ARR TRAJECTORY (EUR)</t>
        </is>
      </c>
      <c r="B13" s="164" t="n"/>
      <c r="C13" s="164" t="n"/>
      <c r="D13" s="164" t="n"/>
      <c r="E13" s="164" t="n"/>
      <c r="F13" s="164" t="n"/>
      <c r="G13" s="164" t="n"/>
    </row>
    <row r="14" ht="15" customHeight="1" s="125">
      <c r="A14" s="212" t="inlineStr">
        <is>
          <t>Milestone</t>
        </is>
      </c>
      <c r="B14" s="165" t="inlineStr">
        <is>
          <t>P10 (Downside)</t>
        </is>
      </c>
      <c r="C14" s="165" t="inlineStr">
        <is>
          <t>P50 (Base)</t>
        </is>
      </c>
      <c r="D14" s="165" t="inlineStr">
        <is>
          <t>P90 (Upside)</t>
        </is>
      </c>
      <c r="E14" s="165" t="inlineStr">
        <is>
          <t>Notes</t>
        </is>
      </c>
      <c r="F14" s="213" t="n"/>
      <c r="G14" s="213" t="n"/>
    </row>
    <row r="15" ht="15" customHeight="1" s="125">
      <c r="A15" s="214" t="inlineStr">
        <is>
          <t>Month 12</t>
        </is>
      </c>
      <c r="B15" s="216" t="n">
        <v>601869</v>
      </c>
      <c r="C15" s="216" t="n">
        <v>826013</v>
      </c>
      <c r="D15" s="216" t="n">
        <v>1099505</v>
      </c>
      <c r="E15" s="216" t="n"/>
      <c r="F15" s="216" t="n"/>
      <c r="G15" s="214" t="n"/>
    </row>
    <row r="16" ht="15" customHeight="1" s="125">
      <c r="A16" s="157" t="inlineStr">
        <is>
          <t>Month 18</t>
        </is>
      </c>
      <c r="B16" s="215" t="n">
        <v>1051217</v>
      </c>
      <c r="C16" s="215" t="n">
        <v>1395809</v>
      </c>
      <c r="D16" s="215" t="n">
        <v>1799274</v>
      </c>
      <c r="E16" s="215" t="n"/>
      <c r="F16" s="215" t="n"/>
      <c r="G16" s="157" t="n"/>
    </row>
    <row r="17" ht="15" customHeight="1" s="125">
      <c r="A17" s="214" t="inlineStr">
        <is>
          <t>Month 24</t>
        </is>
      </c>
      <c r="B17" s="214" t="n">
        <v>1680000</v>
      </c>
      <c r="C17" s="214" t="n">
        <v>2140000</v>
      </c>
      <c r="D17" s="214" t="n">
        <v>2730000</v>
      </c>
      <c r="E17" s="214" t="inlineStr">
        <is>
          <t>Interpolated from monthly data</t>
        </is>
      </c>
      <c r="F17" s="214" t="n"/>
      <c r="G17" s="214" t="n"/>
    </row>
    <row r="18" ht="15" customHeight="1" s="125">
      <c r="A18" s="157" t="inlineStr">
        <is>
          <t>Month 30</t>
        </is>
      </c>
      <c r="B18" s="215" t="n">
        <v>2347161</v>
      </c>
      <c r="C18" s="215" t="n">
        <v>2988560</v>
      </c>
      <c r="D18" s="215" t="n">
        <v>3713580</v>
      </c>
      <c r="E18" s="215" t="n"/>
      <c r="F18" s="215" t="n"/>
      <c r="G18" s="157" t="n"/>
    </row>
    <row r="19" ht="15" customHeight="1" s="125">
      <c r="A19" s="217" t="inlineStr">
        <is>
          <t>Month 36</t>
        </is>
      </c>
      <c r="B19" s="216" t="n">
        <v>3114719</v>
      </c>
      <c r="C19" s="216" t="n">
        <v>3989548</v>
      </c>
      <c r="D19" s="216" t="n">
        <v>4940428</v>
      </c>
      <c r="E19" s="216" t="n"/>
      <c r="F19" s="216" t="n"/>
      <c r="G19" s="214" t="n"/>
    </row>
    <row r="20" ht="15" customHeight="1" s="125">
      <c r="A20" s="157" t="inlineStr">
        <is>
          <t>Month 60</t>
        </is>
      </c>
      <c r="B20" s="215" t="n">
        <v>7047228</v>
      </c>
      <c r="C20" s="215" t="n">
        <v>9208809</v>
      </c>
      <c r="D20" s="215" t="n">
        <v>11848333</v>
      </c>
      <c r="E20" s="215" t="n"/>
      <c r="F20" s="215" t="n"/>
      <c r="G20" s="157" t="n"/>
    </row>
    <row r="22" ht="15" customHeight="1" s="125">
      <c r="A22" s="163" t="inlineStr">
        <is>
          <t>MILESTONE PROBABILITIES</t>
        </is>
      </c>
      <c r="B22" s="164" t="n"/>
      <c r="C22" s="164" t="n"/>
      <c r="D22" s="164" t="n"/>
      <c r="E22" s="164" t="n"/>
      <c r="F22" s="164" t="n"/>
      <c r="G22" s="164" t="n"/>
    </row>
    <row r="23" ht="15" customHeight="1" s="125">
      <c r="A23" s="212" t="inlineStr">
        <is>
          <t>Milestone</t>
        </is>
      </c>
      <c r="B23" s="218" t="inlineStr">
        <is>
          <t>Probability</t>
        </is>
      </c>
      <c r="C23" s="218" t="n"/>
      <c r="D23" s="218" t="inlineStr">
        <is>
          <t>Confidence</t>
        </is>
      </c>
      <c r="E23" s="218" t="n"/>
      <c r="F23" s="218" t="n"/>
      <c r="G23" s="218" t="n"/>
    </row>
    <row r="24" ht="15" customHeight="1" s="125">
      <c r="A24" s="214" t="inlineStr">
        <is>
          <t>5 hotels by M12</t>
        </is>
      </c>
      <c r="B24" s="219" t="n">
        <v>1</v>
      </c>
      <c r="C24" s="214" t="n"/>
      <c r="D24" s="214" t="inlineStr">
        <is>
          <t>HIGH</t>
        </is>
      </c>
      <c r="E24" s="214" t="n"/>
      <c r="F24" s="214" t="n"/>
      <c r="G24" s="214" t="n"/>
    </row>
    <row r="25" ht="15" customHeight="1" s="125">
      <c r="A25" s="157" t="inlineStr">
        <is>
          <t>Breakeven by M9</t>
        </is>
      </c>
      <c r="B25" s="220" t="n">
        <v>1</v>
      </c>
      <c r="C25" s="157" t="n"/>
      <c r="D25" s="157" t="inlineStr">
        <is>
          <t>HIGH</t>
        </is>
      </c>
      <c r="E25" s="157" t="n"/>
      <c r="F25" s="157" t="n"/>
      <c r="G25" s="157" t="n"/>
    </row>
    <row r="26" ht="15" customHeight="1" s="125">
      <c r="A26" s="214" t="inlineStr">
        <is>
          <t>Breakeven by M12</t>
        </is>
      </c>
      <c r="B26" s="219" t="n">
        <v>1</v>
      </c>
      <c r="C26" s="214" t="n"/>
      <c r="D26" s="214" t="inlineStr">
        <is>
          <t>HIGH</t>
        </is>
      </c>
      <c r="E26" s="214" t="n"/>
      <c r="F26" s="214" t="n"/>
      <c r="G26" s="214" t="n"/>
    </row>
    <row r="27" ht="15" customHeight="1" s="125">
      <c r="A27" s="157" t="inlineStr">
        <is>
          <t>EUR 25K MRR by M18</t>
        </is>
      </c>
      <c r="B27" s="220" t="n">
        <v>0.99</v>
      </c>
      <c r="C27" s="157" t="n"/>
      <c r="D27" s="157" t="inlineStr">
        <is>
          <t>HIGH</t>
        </is>
      </c>
      <c r="E27" s="157" t="n"/>
      <c r="F27" s="157" t="n"/>
      <c r="G27" s="157" t="n"/>
    </row>
    <row r="28" ht="15" customHeight="1" s="125">
      <c r="A28" s="214" t="inlineStr">
        <is>
          <t>EUR 75K MRR by M24</t>
        </is>
      </c>
      <c r="B28" s="219" t="n">
        <v>0.9</v>
      </c>
      <c r="C28" s="214" t="n"/>
      <c r="D28" s="214" t="inlineStr">
        <is>
          <t>HIGH</t>
        </is>
      </c>
      <c r="E28" s="214" t="n"/>
      <c r="F28" s="214" t="n"/>
      <c r="G28" s="214" t="n"/>
    </row>
    <row r="29" ht="15" customHeight="1" s="125">
      <c r="A29" s="157" t="inlineStr">
        <is>
          <t>EUR 1M ARR by M24</t>
        </is>
      </c>
      <c r="B29" s="220" t="n">
        <v>0.86</v>
      </c>
      <c r="C29" s="157" t="n"/>
      <c r="D29" s="157" t="inlineStr">
        <is>
          <t>HIGH</t>
        </is>
      </c>
      <c r="E29" s="157" t="n"/>
      <c r="F29" s="157" t="n"/>
      <c r="G29" s="157" t="n"/>
    </row>
    <row r="30" ht="15" customHeight="1" s="125">
      <c r="A30" s="214" t="inlineStr">
        <is>
          <t>EUR 5M ARR by M36</t>
        </is>
      </c>
      <c r="B30" s="219" t="n">
        <v>0.37</v>
      </c>
      <c r="C30" s="214" t="n"/>
      <c r="D30" s="214" t="inlineStr">
        <is>
          <t>MEDIUM</t>
        </is>
      </c>
      <c r="E30" s="214" t="n"/>
      <c r="F30" s="214" t="n"/>
      <c r="G30" s="214" t="n"/>
    </row>
    <row r="31" ht="15" customHeight="1" s="125">
      <c r="A31" s="157" t="inlineStr">
        <is>
          <t>EUR 10M ARR by M48</t>
        </is>
      </c>
      <c r="B31" s="220" t="n">
        <v>0.52</v>
      </c>
      <c r="C31" s="157" t="n"/>
      <c r="D31" s="157" t="inlineStr">
        <is>
          <t>MEDIUM</t>
        </is>
      </c>
      <c r="E31" s="157" t="n"/>
      <c r="F31" s="157" t="n"/>
      <c r="G31" s="157" t="n"/>
    </row>
    <row r="32" ht="15" customHeight="1" s="125">
      <c r="A32" s="214" t="inlineStr">
        <is>
          <t>Cash negative ever</t>
        </is>
      </c>
      <c r="B32" s="219" t="n">
        <v>0.01</v>
      </c>
      <c r="C32" s="214" t="n"/>
      <c r="D32" s="214" t="inlineStr">
        <is>
          <t>LOW (good)</t>
        </is>
      </c>
      <c r="E32" s="214" t="n"/>
      <c r="F32" s="214" t="n"/>
      <c r="G32" s="214" t="n"/>
    </row>
    <row r="34" ht="15" customHeight="1" s="125">
      <c r="A34" s="163" t="inlineStr">
        <is>
          <t>EXIT VALUATION AT MONTH 60 (EUR, simple ARR multiple lenses)</t>
        </is>
      </c>
      <c r="B34" s="164" t="n"/>
      <c r="C34" s="164" t="n"/>
      <c r="D34" s="164" t="n"/>
      <c r="E34" s="164" t="n"/>
      <c r="F34" s="164" t="n"/>
      <c r="G34" s="164" t="n"/>
    </row>
    <row r="35" ht="15" customHeight="1" s="125">
      <c r="A35" s="212" t="inlineStr">
        <is>
          <t>Multiple</t>
        </is>
      </c>
      <c r="B35" s="221" t="inlineStr">
        <is>
          <t>P10</t>
        </is>
      </c>
      <c r="C35" s="221" t="inlineStr">
        <is>
          <t>P50</t>
        </is>
      </c>
      <c r="D35" s="221" t="inlineStr">
        <is>
          <t>P90</t>
        </is>
      </c>
      <c r="E35" s="221" t="n"/>
      <c r="F35" s="221" t="n"/>
      <c r="G35" s="218" t="n"/>
    </row>
    <row r="36" ht="15" customHeight="1" s="125">
      <c r="A36" s="214" t="inlineStr">
        <is>
          <t>4.0x (operator downside lens)</t>
        </is>
      </c>
      <c r="B36" s="216" t="n">
        <v>28188912</v>
      </c>
      <c r="C36" s="216" t="n">
        <v>36835235</v>
      </c>
      <c r="D36" s="216" t="n">
        <v>47393331</v>
      </c>
      <c r="E36" s="216" t="n"/>
      <c r="F36" s="216" t="n"/>
      <c r="G36" s="214" t="n"/>
    </row>
    <row r="37" ht="15" customHeight="1" s="125">
      <c r="A37" s="157" t="inlineStr">
        <is>
          <t>5.0x (operator base lens)</t>
        </is>
      </c>
      <c r="B37" s="215" t="n">
        <v>35236140</v>
      </c>
      <c r="C37" s="215" t="n">
        <v>46044044</v>
      </c>
      <c r="D37" s="215" t="n">
        <v>59241664</v>
      </c>
      <c r="E37" s="215" t="n"/>
      <c r="F37" s="215" t="n"/>
      <c r="G37" s="157" t="n"/>
    </row>
    <row r="38" ht="15" customHeight="1" s="125">
      <c r="A38" s="214" t="inlineStr">
        <is>
          <t>6.0x (upper lens)</t>
        </is>
      </c>
      <c r="B38" s="216" t="n">
        <v>42283368</v>
      </c>
      <c r="C38" s="216" t="n">
        <v>55252853</v>
      </c>
      <c r="D38" s="216" t="n">
        <v>71089997</v>
      </c>
      <c r="E38" s="216" t="n"/>
      <c r="F38" s="216" t="n"/>
      <c r="G38" s="214" t="n"/>
    </row>
    <row r="40" ht="15" customHeight="1" s="125">
      <c r="A40" s="163" t="inlineStr">
        <is>
          <t>UNIT ECONOMICS &amp; EFFICIENCY</t>
        </is>
      </c>
      <c r="B40" s="164" t="n"/>
      <c r="C40" s="164" t="n"/>
      <c r="D40" s="164" t="n"/>
      <c r="E40" s="164" t="n"/>
      <c r="F40" s="164" t="n"/>
      <c r="G40" s="164" t="n"/>
    </row>
    <row r="41" ht="15" customHeight="1" s="125">
      <c r="A41" s="212" t="inlineStr">
        <is>
          <t>Metric</t>
        </is>
      </c>
      <c r="B41" s="218" t="inlineStr">
        <is>
          <t>Value</t>
        </is>
      </c>
      <c r="C41" s="218" t="n"/>
      <c r="D41" s="218" t="inlineStr">
        <is>
          <t>Notes</t>
        </is>
      </c>
      <c r="E41" s="218" t="n"/>
      <c r="F41" s="218" t="n"/>
      <c r="G41" s="218" t="n"/>
    </row>
    <row r="42" ht="15" customHeight="1" s="125">
      <c r="A42" s="214" t="inlineStr">
        <is>
          <t>Breakeven month (P50)</t>
        </is>
      </c>
      <c r="B42" s="214" t="inlineStr">
        <is>
          <t>Month 4-6</t>
        </is>
      </c>
      <c r="C42" s="214" t="n"/>
      <c r="D42" s="214" t="inlineStr">
        <is>
          <t>Solo burn ~EUR 9.7K/mo. 5-7 hotels covers it, depending on pricing tier.</t>
        </is>
      </c>
      <c r="E42" s="214" t="n"/>
      <c r="F42" s="214" t="n"/>
      <c r="G42" s="214" t="n"/>
    </row>
    <row r="43" ht="15" customHeight="1" s="125">
      <c r="A43" s="157" t="inlineStr">
        <is>
          <t>Max team size</t>
        </is>
      </c>
      <c r="B43" s="215" t="n">
        <v>8</v>
      </c>
      <c r="C43" s="157" t="n"/>
      <c r="D43" s="157" t="inlineStr">
        <is>
          <t>Business plan ceiling. 8 people at Stage 4.</t>
        </is>
      </c>
      <c r="E43" s="157" t="n"/>
      <c r="F43" s="157" t="n"/>
      <c r="G43" s="157" t="n"/>
    </row>
    <row r="44" ht="15" customHeight="1" s="125">
      <c r="A44" s="214" t="inlineStr">
        <is>
          <t>Rev/employee at M60 (P50)</t>
        </is>
      </c>
      <c r="B44" s="214" t="inlineStr">
        <is>
          <t>EUR 1.10M</t>
        </is>
      </c>
      <c r="C44" s="214" t="n"/>
      <c r="D44" s="214" t="inlineStr">
        <is>
          <t>EUR 8.77M ARR / 8 people. Best-in-class SaaS.</t>
        </is>
      </c>
      <c r="E44" s="214" t="n"/>
      <c r="F44" s="214" t="n"/>
      <c r="G44" s="214" t="n"/>
    </row>
    <row r="45" ht="15" customHeight="1" s="125">
      <c r="A45" s="157" t="inlineStr">
        <is>
          <t>Total capital raised</t>
        </is>
      </c>
      <c r="B45" s="157" t="inlineStr">
        <is>
          <t>EUR 132K-165K eq.</t>
        </is>
      </c>
      <c r="C45" s="157" t="n"/>
      <c r="D45" s="157" t="inlineStr">
        <is>
          <t>Seed CHF 120-150K only. No later financing assumed.</t>
        </is>
      </c>
      <c r="E45" s="157" t="n"/>
      <c r="F45" s="157" t="n"/>
      <c r="G45" s="157" t="n"/>
    </row>
    <row r="46" ht="15" customHeight="1" s="125">
      <c r="A46" s="214" t="inlineStr">
        <is>
          <t>Cash negative probability</t>
        </is>
      </c>
      <c r="B46" s="214" t="inlineStr">
        <is>
          <t>&lt; 1%</t>
        </is>
      </c>
      <c r="C46" s="214" t="n"/>
      <c r="D46" s="214" t="inlineStr">
        <is>
          <t>0.85% across 10K simulations.</t>
        </is>
      </c>
      <c r="E46" s="214" t="n"/>
      <c r="F46" s="214" t="n"/>
      <c r="G46" s="214" t="n"/>
    </row>
    <row r="48" ht="15" customHeight="1" s="125">
      <c r="A48" s="163" t="inlineStr">
        <is>
          <t>SCENARIO NARRATIVE</t>
        </is>
      </c>
      <c r="B48" s="164" t="n"/>
      <c r="C48" s="164" t="n"/>
      <c r="D48" s="164" t="n"/>
      <c r="E48" s="164" t="n"/>
      <c r="F48" s="164" t="n"/>
      <c r="G48" s="164" t="n"/>
    </row>
    <row r="49" ht="15" customHeight="1" s="125">
      <c r="A49" s="211" t="inlineStr">
        <is>
          <t>This is the business plan as written. CHF 120-150K operator seed from Amedeo Guffanti and Marco Corsaro,</t>
        </is>
      </c>
    </row>
    <row r="50" ht="15" customHeight="1" s="125">
      <c r="A50" s="211" t="inlineStr">
        <is>
          <t>Marco Di Cesare as solo founder for 12 months, AI-native ops from day 1, Amedeo/Corsaro network as</t>
        </is>
      </c>
    </row>
    <row r="51" ht="15" customHeight="1" s="125">
      <c r="A51" s="211" t="inlineStr">
        <is>
          <t>primary acquisition channel (planning target: 3-4 warm intros/month). Revenue reinvested after breakeven.</t>
        </is>
      </c>
    </row>
    <row r="52" ht="15" customHeight="1" s="125">
      <c r="A52" s="211" t="inlineStr">
        <is>
          <t>M36 target of 115 hotels is the base case of this scenario. 154 hotels belongs to the follow-on-angel path.</t>
        </is>
      </c>
    </row>
    <row r="53" ht="15" customHeight="1" s="125">
      <c r="A53" s="211" t="inlineStr">
        <is>
          <t>M60 P50: 227 hotels, EUR 9.21M ARR, EUR 46M exit at 5x. No later financing assumed.</t>
        </is>
      </c>
    </row>
    <row r="55" ht="15" customHeight="1" s="125">
      <c r="A55" s="211" t="inlineStr">
        <is>
          <t>Source: Monte Carlo simulation (10,000 iterations, 60 months). Calibrated to business plan v4 / MC v2, March 2026.</t>
        </is>
      </c>
    </row>
    <row r="56" ht="15" customHeight="1" s="125">
      <c r="A56" s="211" t="inlineStr">
        <is>
          <t>Market validation: Synthetic buyer survey of 272 Swiss 4-5★ hotels (buy@CHF 3K: 37%, delay risk: 67%).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6" customWidth="1" style="124" min="1" max="1"/>
    <col width="16" customWidth="1" style="124" min="2" max="6"/>
    <col width="30" customWidth="1" style="124" min="7" max="7"/>
  </cols>
  <sheetData>
    <row r="1" ht="15.75" customHeight="1" s="125">
      <c r="A1" s="210" t="inlineStr">
        <is>
          <t>TERCIER — Scenario B: Operator + Follow-On Angel (MC v2)</t>
        </is>
      </c>
    </row>
    <row r="2" ht="15" customHeight="1" s="125">
      <c r="A2" s="211" t="inlineStr">
        <is>
          <t>Canonical second path. Same wedge and GTM motion as Scenario A, but with a milestone-based angel tranche from month 12 to compress onboarding, integrations, and group expansion.</t>
        </is>
      </c>
    </row>
    <row r="3" ht="15" customHeight="1" s="125">
      <c r="A3" s="124" t="inlineStr">
        <is>
          <t>Source: research/synthetic-survey/run-2026-03-22-business-plan-monte-carlo-v2/</t>
        </is>
      </c>
    </row>
    <row r="4" ht="15" customHeight="1" s="125">
      <c r="A4" s="163" t="inlineStr">
        <is>
          <t>HOTEL MILESTONES (active hotels)</t>
        </is>
      </c>
      <c r="B4" s="164" t="n"/>
      <c r="C4" s="164" t="n"/>
      <c r="D4" s="164" t="n"/>
      <c r="E4" s="164" t="n"/>
      <c r="F4" s="164" t="n"/>
      <c r="G4" s="164" t="n"/>
    </row>
    <row r="5" ht="15" customHeight="1" s="125">
      <c r="A5" s="212" t="inlineStr">
        <is>
          <t>Milestone</t>
        </is>
      </c>
      <c r="B5" s="218" t="inlineStr">
        <is>
          <t>P10</t>
        </is>
      </c>
      <c r="C5" s="218" t="inlineStr">
        <is>
          <t>P50 (Base)</t>
        </is>
      </c>
      <c r="D5" s="218" t="inlineStr">
        <is>
          <t>P90</t>
        </is>
      </c>
      <c r="E5" s="218" t="inlineStr">
        <is>
          <t>Notes</t>
        </is>
      </c>
      <c r="F5" s="218" t="inlineStr">
        <is>
          <t>P90</t>
        </is>
      </c>
      <c r="G5" s="218" t="inlineStr">
        <is>
          <t>vs Scenario A</t>
        </is>
      </c>
    </row>
    <row r="6" ht="15" customHeight="1" s="125">
      <c r="A6" s="214" t="inlineStr">
        <is>
          <t>Month 12</t>
        </is>
      </c>
      <c r="B6" s="216" t="n">
        <v>26</v>
      </c>
      <c r="C6" s="216" t="n">
        <v>35</v>
      </c>
      <c r="D6" s="216" t="n">
        <v>45</v>
      </c>
      <c r="E6" s="216" t="inlineStr">
        <is>
          <t>Fast proof + early angel support</t>
        </is>
      </c>
      <c r="F6" s="216" t="n">
        <v>18</v>
      </c>
      <c r="G6" s="214" t="inlineStr">
        <is>
          <t>—</t>
        </is>
      </c>
    </row>
    <row r="7" ht="15" customHeight="1" s="125">
      <c r="A7" s="157" t="inlineStr">
        <is>
          <t>Month 18</t>
        </is>
      </c>
      <c r="B7" s="215" t="n">
        <v>45</v>
      </c>
      <c r="C7" s="215" t="n">
        <v>58</v>
      </c>
      <c r="D7" s="215" t="n">
        <v>73</v>
      </c>
      <c r="E7" s="215" t="inlineStr">
        <is>
          <t>Strong warm intro conversion</t>
        </is>
      </c>
      <c r="F7" s="215" t="n">
        <v>24</v>
      </c>
      <c r="G7" s="157" t="inlineStr">
        <is>
          <t>-1</t>
        </is>
      </c>
    </row>
    <row r="8" ht="15" customHeight="1" s="125">
      <c r="A8" s="214" t="inlineStr">
        <is>
          <t>Month 30</t>
        </is>
      </c>
      <c r="B8" s="216" t="n">
        <v>95</v>
      </c>
      <c r="C8" s="216" t="n">
        <v>118</v>
      </c>
      <c r="D8" s="216" t="n">
        <v>144</v>
      </c>
      <c r="E8" s="216" t="inlineStr">
        <is>
          <t>Land-and-expand compounding</t>
        </is>
      </c>
      <c r="F8" s="216" t="n">
        <v>47</v>
      </c>
      <c r="G8" s="214" t="inlineStr">
        <is>
          <t>+5</t>
        </is>
      </c>
    </row>
    <row r="9" ht="15" customHeight="1" s="125">
      <c r="A9" s="157" t="inlineStr">
        <is>
          <t>Month 36</t>
        </is>
      </c>
      <c r="B9" s="215" t="n">
        <v>124</v>
      </c>
      <c r="C9" s="215" t="n">
        <v>154</v>
      </c>
      <c r="D9" s="215" t="n">
        <v>187</v>
      </c>
      <c r="E9" s="215" t="inlineStr">
        <is>
          <t>Canonical upside path</t>
        </is>
      </c>
      <c r="F9" s="215" t="n">
        <v>76</v>
      </c>
      <c r="G9" s="157" t="inlineStr">
        <is>
          <t>—</t>
        </is>
      </c>
    </row>
    <row r="10" ht="15" customHeight="1" s="125">
      <c r="A10" s="214" t="inlineStr">
        <is>
          <t>Month 60</t>
        </is>
      </c>
      <c r="B10" s="216" t="n">
        <v>254</v>
      </c>
      <c r="C10" s="216" t="n">
        <v>321</v>
      </c>
      <c r="D10" s="216" t="n">
        <v>401</v>
      </c>
      <c r="E10" s="216" t="inlineStr">
        <is>
          <t>Non-VC but accelerated</t>
        </is>
      </c>
      <c r="F10" s="216" t="n">
        <v>216</v>
      </c>
      <c r="G10" s="214" t="inlineStr">
        <is>
          <t>+78</t>
        </is>
      </c>
    </row>
    <row r="11" ht="15" customHeight="1" s="125">
      <c r="A11" s="157" t="n"/>
      <c r="B11" s="215" t="n"/>
      <c r="C11" s="215" t="n"/>
      <c r="D11" s="215" t="n"/>
      <c r="E11" s="215" t="n"/>
      <c r="F11" s="215" t="n"/>
      <c r="G11" s="157" t="n"/>
    </row>
    <row r="12" ht="15" customHeight="1" s="125">
      <c r="A12" s="214" t="n"/>
      <c r="B12" s="216" t="n"/>
      <c r="C12" s="216" t="n"/>
      <c r="D12" s="216" t="n"/>
      <c r="E12" s="216" t="n"/>
      <c r="F12" s="216" t="n"/>
      <c r="G12" s="214" t="n"/>
    </row>
    <row r="14" ht="15" customHeight="1" s="125">
      <c r="A14" s="163" t="inlineStr">
        <is>
          <t>ARR TRAJECTORY (EUR)</t>
        </is>
      </c>
      <c r="B14" s="164" t="n"/>
      <c r="C14" s="164" t="n"/>
      <c r="D14" s="164" t="n"/>
      <c r="E14" s="164" t="n"/>
      <c r="F14" s="164" t="n"/>
      <c r="G14" s="164" t="n"/>
    </row>
    <row r="15" ht="15" customHeight="1" s="125">
      <c r="A15" s="212" t="inlineStr">
        <is>
          <t>Milestone</t>
        </is>
      </c>
      <c r="B15" s="218" t="inlineStr">
        <is>
          <t>P10</t>
        </is>
      </c>
      <c r="C15" s="218" t="inlineStr">
        <is>
          <t>P50 (Base)</t>
        </is>
      </c>
      <c r="D15" s="218" t="inlineStr">
        <is>
          <t>P90</t>
        </is>
      </c>
      <c r="E15" s="218" t="inlineStr">
        <is>
          <t>Notes</t>
        </is>
      </c>
      <c r="F15" s="218" t="inlineStr">
        <is>
          <t>P90</t>
        </is>
      </c>
      <c r="G15" s="218" t="inlineStr">
        <is>
          <t>vs Scenario A</t>
        </is>
      </c>
    </row>
    <row r="16" ht="15" customHeight="1" s="125">
      <c r="A16" s="214" t="inlineStr">
        <is>
          <t>Month 12</t>
        </is>
      </c>
      <c r="B16" s="216" t="n">
        <v>704076</v>
      </c>
      <c r="C16" s="216" t="n">
        <v>967456</v>
      </c>
      <c r="D16" s="216" t="n">
        <v>1269099</v>
      </c>
      <c r="E16" s="216" t="n">
        <v>510596</v>
      </c>
      <c r="F16" s="216" t="n">
        <v>606432</v>
      </c>
      <c r="G16" s="214" t="inlineStr">
        <is>
          <t>+-10%</t>
        </is>
      </c>
    </row>
    <row r="17" ht="15" customHeight="1" s="125">
      <c r="A17" s="157" t="inlineStr">
        <is>
          <t>Month 18</t>
        </is>
      </c>
      <c r="B17" s="215" t="n">
        <v>1317758</v>
      </c>
      <c r="C17" s="215" t="n">
        <v>1724431</v>
      </c>
      <c r="D17" s="215" t="n">
        <v>2192847</v>
      </c>
      <c r="E17" s="215" t="n">
        <v>1032926</v>
      </c>
      <c r="F17" s="215" t="n">
        <v>1262843</v>
      </c>
      <c r="G17" s="157" t="inlineStr">
        <is>
          <t>+5%</t>
        </is>
      </c>
    </row>
    <row r="18" ht="15" customHeight="1" s="125">
      <c r="A18" s="214" t="inlineStr">
        <is>
          <t>Month 30</t>
        </is>
      </c>
      <c r="B18" s="216" t="n">
        <v>3105495</v>
      </c>
      <c r="C18" s="216" t="n">
        <v>3917484</v>
      </c>
      <c r="D18" s="216" t="n">
        <v>4854497</v>
      </c>
      <c r="E18" s="216" t="n">
        <v>1817687</v>
      </c>
      <c r="F18" s="216" t="n">
        <v>2117920</v>
      </c>
      <c r="G18" s="214" t="inlineStr">
        <is>
          <t>—</t>
        </is>
      </c>
    </row>
    <row r="19" ht="15" customHeight="1" s="125">
      <c r="A19" s="157" t="inlineStr">
        <is>
          <t>Month 36</t>
        </is>
      </c>
      <c r="B19" s="215" t="n">
        <v>4238665</v>
      </c>
      <c r="C19" s="215" t="n">
        <v>5330168</v>
      </c>
      <c r="D19" s="215" t="n">
        <v>6632199</v>
      </c>
      <c r="E19" s="215" t="n">
        <v>5568579</v>
      </c>
      <c r="F19" s="215" t="n">
        <v>6681793</v>
      </c>
      <c r="G19" s="157" t="inlineStr">
        <is>
          <t>+73%</t>
        </is>
      </c>
    </row>
    <row r="20" ht="15" customHeight="1" s="125">
      <c r="A20" s="214" t="inlineStr">
        <is>
          <t>Month 60</t>
        </is>
      </c>
      <c r="B20" s="216" t="n">
        <v>10210432</v>
      </c>
      <c r="C20" s="216" t="n">
        <v>13219788</v>
      </c>
      <c r="D20" s="216" t="n">
        <v>17124692</v>
      </c>
      <c r="E20" s="216" t="n">
        <v>11542610</v>
      </c>
      <c r="F20" s="216" t="n">
        <v>13193114</v>
      </c>
      <c r="G20" s="214" t="inlineStr">
        <is>
          <t>—</t>
        </is>
      </c>
    </row>
    <row r="21" ht="15" customHeight="1" s="125">
      <c r="A21" s="157" t="n"/>
      <c r="B21" s="215" t="n"/>
      <c r="C21" s="215" t="n"/>
      <c r="D21" s="215" t="n"/>
      <c r="E21" s="215" t="n"/>
      <c r="F21" s="215" t="n"/>
      <c r="G21" s="157" t="n"/>
    </row>
    <row r="23" ht="15" customHeight="1" s="125">
      <c r="A23" s="163" t="inlineStr">
        <is>
          <t>EXIT VALUATION AT MONTH 60 (EUR, simple ARR multiple lenses)</t>
        </is>
      </c>
      <c r="B23" s="164" t="n"/>
      <c r="C23" s="164" t="n"/>
      <c r="D23" s="164" t="n"/>
      <c r="E23" s="164" t="n"/>
      <c r="F23" s="164" t="n"/>
      <c r="G23" s="164" t="n"/>
    </row>
    <row r="24" ht="15" customHeight="1" s="125">
      <c r="A24" s="212" t="inlineStr">
        <is>
          <t>Multiple</t>
        </is>
      </c>
      <c r="B24" s="218" t="inlineStr">
        <is>
          <t>P10</t>
        </is>
      </c>
      <c r="C24" s="218" t="inlineStr">
        <is>
          <t>P50</t>
        </is>
      </c>
      <c r="D24" s="218" t="inlineStr">
        <is>
          <t>P90</t>
        </is>
      </c>
      <c r="E24" s="218" t="n"/>
      <c r="F24" s="218" t="inlineStr">
        <is>
          <t>Delta</t>
        </is>
      </c>
      <c r="G24" s="218" t="n"/>
    </row>
    <row r="25" ht="15" customHeight="1" s="125">
      <c r="A25" s="214" t="inlineStr">
        <is>
          <t>4.05x (angel downside lens)</t>
        </is>
      </c>
      <c r="B25" s="219" t="n">
        <v>41352250</v>
      </c>
      <c r="C25" s="214" t="n">
        <v>53540140</v>
      </c>
      <c r="D25" s="219" t="n">
        <v>69354903</v>
      </c>
      <c r="E25" s="214" t="n"/>
      <c r="F25" s="214" t="inlineStr">
        <is>
          <t>+0%</t>
        </is>
      </c>
      <c r="G25" s="214" t="n"/>
    </row>
    <row r="26" ht="15" customHeight="1" s="125">
      <c r="A26" s="157" t="inlineStr">
        <is>
          <t>5.15x (angel base lens)</t>
        </is>
      </c>
      <c r="B26" s="220" t="n">
        <v>52583725</v>
      </c>
      <c r="C26" s="157" t="n">
        <v>68081907</v>
      </c>
      <c r="D26" s="220" t="n">
        <v>88192167</v>
      </c>
      <c r="E26" s="157" t="n"/>
      <c r="F26" s="157" t="inlineStr">
        <is>
          <t>-0%</t>
        </is>
      </c>
      <c r="G26" s="157" t="n"/>
    </row>
    <row r="27" ht="15" customHeight="1" s="125">
      <c r="A27" s="214" t="inlineStr">
        <is>
          <t>6.1x (upper lens)</t>
        </is>
      </c>
      <c r="B27" s="219" t="n">
        <v>62283636</v>
      </c>
      <c r="C27" s="214" t="n">
        <v>80640645</v>
      </c>
      <c r="D27" s="219" t="n">
        <v>104460624</v>
      </c>
      <c r="E27" s="214" t="n"/>
      <c r="F27" s="214" t="inlineStr">
        <is>
          <t>+0%</t>
        </is>
      </c>
      <c r="G27" s="214" t="n"/>
    </row>
    <row r="28" ht="15" customHeight="1" s="125">
      <c r="A28" s="157" t="inlineStr">
        <is>
          <t>€1M ARR by M24</t>
        </is>
      </c>
      <c r="B28" s="220" t="n">
        <v>0.8574000000000001</v>
      </c>
      <c r="C28" s="157" t="n"/>
      <c r="D28" s="220" t="n">
        <v>0.86</v>
      </c>
      <c r="E28" s="157" t="n"/>
      <c r="F28" s="157" t="inlineStr">
        <is>
          <t>-0%</t>
        </is>
      </c>
      <c r="G28" s="157" t="n"/>
    </row>
    <row r="29" ht="15" customHeight="1" s="125">
      <c r="A29" s="214" t="inlineStr">
        <is>
          <t>€5M ARR by M36</t>
        </is>
      </c>
      <c r="B29" s="219" t="n">
        <v>0.3678</v>
      </c>
      <c r="C29" s="214" t="n"/>
      <c r="D29" s="219" t="n">
        <v>0.37</v>
      </c>
      <c r="E29" s="214" t="n"/>
      <c r="F29" s="214" t="inlineStr">
        <is>
          <t>-0%</t>
        </is>
      </c>
      <c r="G29" s="214" t="n"/>
    </row>
    <row r="30" ht="15" customHeight="1" s="125">
      <c r="A30" s="157" t="inlineStr">
        <is>
          <t>€10M ARR by M48</t>
        </is>
      </c>
      <c r="B30" s="220" t="n">
        <v>0.5162</v>
      </c>
      <c r="C30" s="157" t="n"/>
      <c r="D30" s="220" t="n">
        <v>0.52</v>
      </c>
      <c r="E30" s="157" t="n"/>
      <c r="F30" s="157" t="inlineStr">
        <is>
          <t>-0%</t>
        </is>
      </c>
      <c r="G30" s="157" t="n"/>
    </row>
    <row r="31" ht="15" customHeight="1" s="125">
      <c r="A31" s="214" t="inlineStr">
        <is>
          <t>€15M ARR by M60</t>
        </is>
      </c>
      <c r="B31" s="219" t="n">
        <v>0.1958</v>
      </c>
      <c r="C31" s="214" t="n"/>
      <c r="D31" s="219" t="n">
        <v>0.2</v>
      </c>
      <c r="E31" s="214" t="n"/>
      <c r="F31" s="214" t="inlineStr">
        <is>
          <t>-0%</t>
        </is>
      </c>
      <c r="G31" s="214" t="n"/>
    </row>
    <row r="32" ht="15" customHeight="1" s="125">
      <c r="A32" s="157" t="inlineStr">
        <is>
          <t>€20M ARR by M60</t>
        </is>
      </c>
      <c r="B32" s="220" t="n">
        <v>0.0412</v>
      </c>
      <c r="C32" s="157" t="n"/>
      <c r="D32" s="220" t="n">
        <v>0.04</v>
      </c>
      <c r="E32" s="157" t="n"/>
      <c r="F32" s="157" t="inlineStr">
        <is>
          <t>+0%</t>
        </is>
      </c>
      <c r="G32" s="157" t="n"/>
    </row>
    <row r="33" ht="15" customHeight="1" s="125">
      <c r="A33" s="214" t="inlineStr">
        <is>
          <t>Breakeven by M9</t>
        </is>
      </c>
      <c r="B33" s="219" t="n">
        <v>0.9887</v>
      </c>
      <c r="C33" s="214" t="n"/>
      <c r="D33" s="214" t="inlineStr">
        <is>
          <t>—</t>
        </is>
      </c>
      <c r="E33" s="214" t="n"/>
      <c r="F33" s="214" t="n"/>
      <c r="G33" s="214" t="n"/>
    </row>
    <row r="34" ht="15" customHeight="1" s="125">
      <c r="A34" s="157" t="inlineStr">
        <is>
          <t>Breakeven by M12</t>
        </is>
      </c>
      <c r="B34" s="220" t="n">
        <v>0.998</v>
      </c>
      <c r="C34" s="157" t="n"/>
      <c r="D34" s="157" t="inlineStr">
        <is>
          <t>—</t>
        </is>
      </c>
      <c r="E34" s="157" t="n"/>
      <c r="F34" s="157" t="n"/>
      <c r="G34" s="157" t="n"/>
    </row>
    <row r="35" ht="15" customHeight="1" s="125">
      <c r="A35" s="214" t="inlineStr">
        <is>
          <t>Cash negative ever</t>
        </is>
      </c>
      <c r="B35" s="219" t="n">
        <v>0.008500000000000001</v>
      </c>
      <c r="C35" s="214" t="n"/>
      <c r="D35" s="219" t="n">
        <v>0.01</v>
      </c>
      <c r="E35" s="214" t="n"/>
      <c r="F35" s="214" t="inlineStr">
        <is>
          <t>-0%</t>
        </is>
      </c>
      <c r="G35" s="214" t="n"/>
    </row>
    <row r="36" ht="15" customHeight="1" s="125">
      <c r="A36" s="157" t="inlineStr">
        <is>
          <t>€100M exit (4x) by M60</t>
        </is>
      </c>
      <c r="B36" s="220" t="n">
        <v>0.0043</v>
      </c>
      <c r="C36" s="157" t="n"/>
      <c r="D36" s="157" t="inlineStr">
        <is>
          <t>—</t>
        </is>
      </c>
      <c r="E36" s="157" t="n"/>
      <c r="F36" s="157" t="n"/>
      <c r="G36" s="157" t="n"/>
    </row>
    <row r="37" ht="15" customHeight="1" s="125">
      <c r="A37" s="214" t="inlineStr">
        <is>
          <t>€100M exit (5.5x) by M60</t>
        </is>
      </c>
      <c r="B37" s="219" t="n">
        <v>0.0755</v>
      </c>
      <c r="C37" s="214" t="n"/>
      <c r="D37" s="214" t="inlineStr">
        <is>
          <t>—</t>
        </is>
      </c>
      <c r="E37" s="214" t="n"/>
      <c r="F37" s="214" t="n"/>
      <c r="G37" s="214" t="n"/>
    </row>
    <row r="38" ht="15" customHeight="1" s="125">
      <c r="A38" s="157" t="inlineStr">
        <is>
          <t>€100M exit (7x) by M60</t>
        </is>
      </c>
      <c r="B38" s="220" t="n">
        <v>0.2413</v>
      </c>
      <c r="C38" s="157" t="n"/>
      <c r="D38" s="157" t="inlineStr">
        <is>
          <t>—</t>
        </is>
      </c>
      <c r="E38" s="157" t="n"/>
      <c r="F38" s="157" t="n"/>
      <c r="G38" s="157" t="n"/>
    </row>
    <row r="39" ht="15" customHeight="1" s="125">
      <c r="A39" s="163" t="inlineStr">
        <is>
          <t>ILLUSTRATIVE MONTHLY P&amp;L SNAPSHOT (legacy exploratory build, not canonical path table)</t>
        </is>
      </c>
      <c r="B39" s="164" t="n"/>
      <c r="C39" s="164" t="n"/>
      <c r="D39" s="164" t="n"/>
      <c r="E39" s="164" t="n"/>
      <c r="F39" s="164" t="n"/>
      <c r="G39" s="164" t="n"/>
    </row>
    <row r="40" ht="15" customHeight="1" s="125">
      <c r="A40" s="212" t="inlineStr">
        <is>
          <t>Month</t>
        </is>
      </c>
      <c r="B40" s="218" t="inlineStr">
        <is>
          <t>MRR</t>
        </is>
      </c>
      <c r="C40" s="218" t="inlineStr">
        <is>
          <t>Hotels</t>
        </is>
      </c>
      <c r="D40" s="218" t="inlineStr">
        <is>
          <t>Total Costs</t>
        </is>
      </c>
      <c r="E40" s="218" t="inlineStr">
        <is>
          <t>Net Income</t>
        </is>
      </c>
      <c r="F40" s="218" t="inlineStr">
        <is>
          <t>Cash</t>
        </is>
      </c>
      <c r="G40" s="218" t="inlineStr">
        <is>
          <t>Team</t>
        </is>
      </c>
    </row>
    <row r="41" ht="15" customHeight="1" s="125">
      <c r="A41" s="214" t="inlineStr">
        <is>
          <t>M1</t>
        </is>
      </c>
      <c r="B41" s="216" t="n">
        <v>3635</v>
      </c>
      <c r="C41" s="216" t="n">
        <v>2</v>
      </c>
      <c r="D41" s="216" t="n">
        <v>11173</v>
      </c>
      <c r="E41" s="216" t="n">
        <v>-7972</v>
      </c>
      <c r="F41" s="216" t="n">
        <v>269806</v>
      </c>
      <c r="G41" s="216" t="n">
        <v>1</v>
      </c>
    </row>
    <row r="42" ht="15" customHeight="1" s="125">
      <c r="A42" s="157" t="inlineStr">
        <is>
          <t>M3</t>
        </is>
      </c>
      <c r="B42" s="215" t="n">
        <v>12497</v>
      </c>
      <c r="C42" s="215" t="n">
        <v>7</v>
      </c>
      <c r="D42" s="215" t="n">
        <v>14818</v>
      </c>
      <c r="E42" s="215" t="n">
        <v>-3987</v>
      </c>
      <c r="F42" s="215" t="n">
        <v>256918</v>
      </c>
      <c r="G42" s="215" t="n">
        <v>1</v>
      </c>
    </row>
    <row r="43" ht="15" customHeight="1" s="125">
      <c r="A43" s="214" t="inlineStr">
        <is>
          <t>M6</t>
        </is>
      </c>
      <c r="B43" s="216" t="n">
        <v>25794</v>
      </c>
      <c r="C43" s="216" t="n">
        <v>14</v>
      </c>
      <c r="D43" s="216" t="n">
        <v>14837</v>
      </c>
      <c r="E43" s="216" t="n">
        <v>7295</v>
      </c>
      <c r="F43" s="216" t="n">
        <v>269687</v>
      </c>
      <c r="G43" s="216" t="n">
        <v>1</v>
      </c>
    </row>
    <row r="44" ht="15" customHeight="1" s="125">
      <c r="A44" s="157" t="inlineStr">
        <is>
          <t>M9</t>
        </is>
      </c>
      <c r="B44" s="215" t="n">
        <v>28592</v>
      </c>
      <c r="C44" s="215" t="n">
        <v>15</v>
      </c>
      <c r="D44" s="215" t="n">
        <v>14601</v>
      </c>
      <c r="E44" s="215" t="n">
        <v>13729</v>
      </c>
      <c r="F44" s="215" t="n">
        <v>304461</v>
      </c>
      <c r="G44" s="215" t="n">
        <v>1</v>
      </c>
    </row>
    <row r="45" ht="15" customHeight="1" s="125">
      <c r="A45" s="214" t="inlineStr">
        <is>
          <t>M12</t>
        </is>
      </c>
      <c r="B45" s="216" t="n">
        <v>34747</v>
      </c>
      <c r="C45" s="216" t="n">
        <v>18</v>
      </c>
      <c r="D45" s="216" t="n">
        <v>35068</v>
      </c>
      <c r="E45" s="216" t="n">
        <v>-451</v>
      </c>
      <c r="F45" s="216" t="n">
        <v>337302</v>
      </c>
      <c r="G45" s="216" t="n">
        <v>1</v>
      </c>
    </row>
    <row r="46" ht="15" customHeight="1" s="125">
      <c r="A46" s="157" t="inlineStr">
        <is>
          <t>M15</t>
        </is>
      </c>
      <c r="B46" s="215" t="n">
        <v>42683</v>
      </c>
      <c r="C46" s="215" t="n">
        <v>22</v>
      </c>
      <c r="D46" s="215" t="n">
        <v>36403</v>
      </c>
      <c r="E46" s="215" t="n">
        <v>6330</v>
      </c>
      <c r="F46" s="215" t="n">
        <v>345812</v>
      </c>
      <c r="G46" s="215" t="n">
        <v>3</v>
      </c>
    </row>
    <row r="47" ht="15" customHeight="1" s="125">
      <c r="A47" s="214" t="inlineStr">
        <is>
          <t>M18</t>
        </is>
      </c>
      <c r="B47" s="216" t="n">
        <v>68249</v>
      </c>
      <c r="C47" s="216" t="n">
        <v>34</v>
      </c>
      <c r="D47" s="216" t="n">
        <v>38749</v>
      </c>
      <c r="E47" s="216" t="n">
        <v>24263</v>
      </c>
      <c r="F47" s="216" t="n">
        <v>405180</v>
      </c>
      <c r="G47" s="216" t="n">
        <v>3</v>
      </c>
    </row>
    <row r="48" ht="15" customHeight="1" s="125">
      <c r="A48" s="157" t="inlineStr">
        <is>
          <t>M24</t>
        </is>
      </c>
      <c r="B48" s="215" t="n">
        <v>124701</v>
      </c>
      <c r="C48" s="215" t="n">
        <v>59</v>
      </c>
      <c r="D48" s="215" t="n">
        <v>58368</v>
      </c>
      <c r="E48" s="215" t="n">
        <v>66230</v>
      </c>
      <c r="F48" s="215" t="n">
        <v>647680</v>
      </c>
      <c r="G48" s="215" t="n">
        <v>5</v>
      </c>
    </row>
    <row r="49" ht="15" customHeight="1" s="125">
      <c r="A49" s="214" t="inlineStr">
        <is>
          <t>M30</t>
        </is>
      </c>
      <c r="B49" s="216" t="n">
        <v>170680</v>
      </c>
      <c r="C49" s="216" t="n">
        <v>78</v>
      </c>
      <c r="D49" s="216" t="n">
        <v>82581</v>
      </c>
      <c r="E49" s="216" t="n">
        <v>88651</v>
      </c>
      <c r="F49" s="216" t="n">
        <v>1178653</v>
      </c>
      <c r="G49" s="216" t="n">
        <v>5</v>
      </c>
    </row>
    <row r="50" ht="15" customHeight="1" s="125">
      <c r="A50" s="157" t="inlineStr">
        <is>
          <t>M36</t>
        </is>
      </c>
      <c r="B50" s="215" t="n">
        <v>372044</v>
      </c>
      <c r="C50" s="215" t="n">
        <v>162</v>
      </c>
      <c r="D50" s="215" t="n">
        <v>95204</v>
      </c>
      <c r="E50" s="215" t="n">
        <v>276578</v>
      </c>
      <c r="F50" s="215" t="n">
        <v>2132190</v>
      </c>
      <c r="G50" s="215" t="n">
        <v>8</v>
      </c>
    </row>
    <row r="51" ht="15" customHeight="1" s="125">
      <c r="A51" s="214" t="inlineStr">
        <is>
          <t>M42</t>
        </is>
      </c>
      <c r="B51" s="216" t="n">
        <v>697003</v>
      </c>
      <c r="C51" s="216" t="n">
        <v>294</v>
      </c>
      <c r="D51" s="216" t="n">
        <v>114522</v>
      </c>
      <c r="E51" s="216" t="n">
        <v>581302</v>
      </c>
      <c r="F51" s="216" t="n">
        <v>4806158</v>
      </c>
      <c r="G51" s="216" t="n">
        <v>8</v>
      </c>
    </row>
    <row r="52" ht="15" customHeight="1" s="125">
      <c r="A52" s="157" t="inlineStr">
        <is>
          <t>M48</t>
        </is>
      </c>
      <c r="B52" s="215" t="n">
        <v>840542</v>
      </c>
      <c r="C52" s="215" t="n">
        <v>342</v>
      </c>
      <c r="D52" s="215" t="n">
        <v>122960</v>
      </c>
      <c r="E52" s="215" t="n">
        <v>716412</v>
      </c>
      <c r="F52" s="215" t="n">
        <v>8722461</v>
      </c>
      <c r="G52" s="215" t="n">
        <v>8</v>
      </c>
    </row>
    <row r="53" ht="15" customHeight="1" s="125">
      <c r="A53" s="214" t="inlineStr">
        <is>
          <t>M54</t>
        </is>
      </c>
      <c r="B53" s="216" t="n">
        <v>910639</v>
      </c>
      <c r="C53" s="216" t="n">
        <v>352</v>
      </c>
      <c r="D53" s="216" t="n">
        <v>127896</v>
      </c>
      <c r="E53" s="216" t="n">
        <v>782786</v>
      </c>
      <c r="F53" s="216" t="n">
        <v>13205714</v>
      </c>
      <c r="G53" s="216" t="n">
        <v>8</v>
      </c>
    </row>
    <row r="54" ht="15" customHeight="1" s="125">
      <c r="A54" s="157" t="inlineStr">
        <is>
          <t>M60</t>
        </is>
      </c>
      <c r="B54" s="215" t="n">
        <v>963125</v>
      </c>
      <c r="C54" s="215" t="n">
        <v>358</v>
      </c>
      <c r="D54" s="215" t="n">
        <v>131370</v>
      </c>
      <c r="E54" s="215" t="n">
        <v>832104</v>
      </c>
      <c r="F54" s="215" t="n">
        <v>18008371</v>
      </c>
      <c r="G54" s="215" t="n">
        <v>8</v>
      </c>
    </row>
    <row r="56" ht="15" customHeight="1" s="125">
      <c r="A56" s="163" t="inlineStr">
        <is>
          <t>EXIT VALUATION AT MONTH 60 (EUR)</t>
        </is>
      </c>
      <c r="B56" s="164" t="n"/>
      <c r="C56" s="164" t="n"/>
      <c r="D56" s="164" t="n"/>
      <c r="E56" s="164" t="n"/>
      <c r="F56" s="164" t="n"/>
      <c r="G56" s="164" t="n"/>
    </row>
    <row r="57" ht="15" customHeight="1" s="125">
      <c r="A57" s="212" t="inlineStr">
        <is>
          <t>Metric</t>
        </is>
      </c>
      <c r="B57" s="218" t="inlineStr">
        <is>
          <t>P10</t>
        </is>
      </c>
      <c r="C57" s="218" t="inlineStr">
        <is>
          <t>P25</t>
        </is>
      </c>
      <c r="D57" s="218" t="inlineStr">
        <is>
          <t>P50</t>
        </is>
      </c>
      <c r="E57" s="218" t="inlineStr">
        <is>
          <t>P75</t>
        </is>
      </c>
      <c r="F57" s="218" t="inlineStr">
        <is>
          <t>P90</t>
        </is>
      </c>
      <c r="G57" s="218" t="n"/>
    </row>
    <row r="58" ht="15" customHeight="1" s="125">
      <c r="A58" s="214" t="inlineStr">
        <is>
          <t>Exit value (5.5x ARR)</t>
        </is>
      </c>
      <c r="B58" s="216" t="n">
        <v>47399489</v>
      </c>
      <c r="C58" s="216" t="n">
        <v>54170905</v>
      </c>
      <c r="D58" s="216" t="n">
        <v>63566282</v>
      </c>
      <c r="E58" s="216" t="n">
        <v>77894886</v>
      </c>
      <c r="F58" s="216" t="n">
        <v>95447922</v>
      </c>
      <c r="G58" s="214" t="n"/>
    </row>
    <row r="60" ht="15" customHeight="1" s="125">
      <c r="A60" s="163" t="inlineStr">
        <is>
          <t>WHAT DRIVES THE UPSIDE vs SCENARIO A</t>
        </is>
      </c>
      <c r="B60" s="164" t="n"/>
      <c r="C60" s="164" t="n"/>
      <c r="D60" s="164" t="n"/>
      <c r="E60" s="164" t="n"/>
      <c r="F60" s="164" t="n"/>
      <c r="G60" s="164" t="n"/>
    </row>
    <row r="61" ht="15" customHeight="1" s="125">
      <c r="A61" s="211" t="inlineStr">
        <is>
          <t>Same seed structure (CHF 120-150K initial capital) plus a milestone-based angel tranche. Difference: more support on onboarding, integrations, and group expansion.</t>
        </is>
      </c>
    </row>
    <row r="62" ht="15" customHeight="1" s="125">
      <c r="A62" s="211" t="inlineStr">
        <is>
          <t>Network remains the first channel. The upside comes from stronger expansion and follow-on distribution support, not a different wedge.</t>
        </is>
      </c>
    </row>
    <row r="63" ht="15" customHeight="1" s="125">
      <c r="A63" s="211" t="inlineStr">
        <is>
          <t>Additional execution capacity starts after traction, rather than assuming cold-volume scale from day one.</t>
        </is>
      </c>
    </row>
    <row r="64" ht="15" customHeight="1" s="125">
      <c r="A64" s="211" t="inlineStr">
        <is>
          <t>Group rollouts remain the main step-function driver in the upside path.</t>
        </is>
      </c>
    </row>
    <row r="65" ht="15" customHeight="1" s="125">
      <c r="A65" s="211" t="inlineStr">
        <is>
          <t>M36 P50: 154 hotels, EUR 5.33M ARR — this is the canonical follow-on-angel path used in the business plan.</t>
        </is>
      </c>
    </row>
    <row r="66" ht="15" customHeight="1" s="125">
      <c r="A66" s="211" t="inlineStr">
        <is>
          <t>M60 P50: 321 hotels, EUR 13.22M ARR, EUR 68.1M exit at 5.15x.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6" customWidth="1" style="124" min="1" max="1"/>
    <col width="16" customWidth="1" style="124" min="2" max="6"/>
    <col width="30" customWidth="1" style="124" min="7" max="7"/>
  </cols>
  <sheetData>
    <row r="1" ht="15.75" customHeight="1" s="125">
      <c r="A1" s="210" t="inlineStr">
        <is>
          <t>TERCIER — Scenario C: Historical VC-Accelerated (exploratory, P50 retained)</t>
        </is>
      </c>
    </row>
    <row r="2" ht="15" customHeight="1" s="125">
      <c r="A2" s="211" t="inlineStr">
        <is>
          <t>Historical exploratory sheet retained for comparison only. Hotel milestones were reduced to the internally consistent P50 path used by the retained ARR / P&amp;L snapshot.</t>
        </is>
      </c>
    </row>
    <row r="4" ht="15" customHeight="1" s="125">
      <c r="A4" s="163" t="inlineStr">
        <is>
          <t>CAPITAL STRUCTURE</t>
        </is>
      </c>
      <c r="B4" s="164" t="n"/>
      <c r="C4" s="164" t="n"/>
      <c r="D4" s="164" t="n"/>
      <c r="E4" s="164" t="n"/>
      <c r="F4" s="164" t="n"/>
      <c r="G4" s="164" t="n"/>
    </row>
    <row r="5" ht="15" customHeight="1" s="125">
      <c r="A5" s="212" t="inlineStr">
        <is>
          <t>Source</t>
        </is>
      </c>
      <c r="B5" s="218" t="inlineStr">
        <is>
          <t>Amount (EUR)</t>
        </is>
      </c>
      <c r="C5" s="218" t="inlineStr">
        <is>
          <t>Timing</t>
        </is>
      </c>
      <c r="D5" s="218" t="inlineStr">
        <is>
          <t>Notes</t>
        </is>
      </c>
      <c r="E5" s="218" t="n"/>
      <c r="F5" s="218" t="n"/>
      <c r="G5" s="218" t="n"/>
    </row>
    <row r="6" ht="15" customHeight="1" s="125">
      <c r="A6" s="214" t="inlineStr">
        <is>
          <t>Seed (CHF 150K → EUR)</t>
        </is>
      </c>
      <c r="B6" s="216" t="n">
        <v>164835</v>
      </c>
      <c r="C6" s="214" t="inlineStr">
        <is>
          <t>M0</t>
        </is>
      </c>
      <c r="D6" s="214" t="inlineStr">
        <is>
          <t>Guffanti/Corsaro operator seed</t>
        </is>
      </c>
      <c r="E6" s="214" t="n"/>
      <c r="F6" s="214" t="n"/>
      <c r="G6" s="214" t="n"/>
    </row>
    <row r="7" ht="15" customHeight="1" s="125">
      <c r="A7" s="157" t="inlineStr">
        <is>
          <t>Share capital</t>
        </is>
      </c>
      <c r="B7" s="215" t="n">
        <v>55556</v>
      </c>
      <c r="C7" s="157" t="inlineStr">
        <is>
          <t>M0</t>
        </is>
      </c>
      <c r="D7" s="157" t="inlineStr">
        <is>
          <t>AG incorporation</t>
        </is>
      </c>
      <c r="E7" s="157" t="n"/>
      <c r="F7" s="157" t="n"/>
      <c r="G7" s="157" t="n"/>
    </row>
    <row r="8" ht="15" customHeight="1" s="125">
      <c r="A8" s="214" t="inlineStr">
        <is>
          <t>Series A (strategic)</t>
        </is>
      </c>
      <c r="B8" s="216" t="n">
        <v>4000000</v>
      </c>
      <c r="C8" s="214" t="inlineStr">
        <is>
          <t>M27</t>
        </is>
      </c>
      <c r="D8" s="214" t="inlineStr">
        <is>
          <t>Hospitality-specific investor. Raise from strength.</t>
        </is>
      </c>
      <c r="E8" s="214" t="n"/>
      <c r="F8" s="214" t="n"/>
      <c r="G8" s="214" t="n"/>
    </row>
    <row r="9" ht="15" customHeight="1" s="125">
      <c r="A9" s="160" t="inlineStr">
        <is>
          <t>Total capital</t>
        </is>
      </c>
      <c r="B9" s="222" t="n">
        <v>4277778</v>
      </c>
      <c r="C9" s="160" t="n"/>
      <c r="D9" s="160" t="inlineStr">
        <is>
          <t>vs EUR 277K in operator-seeded paths</t>
        </is>
      </c>
      <c r="E9" s="160" t="n"/>
      <c r="F9" s="160" t="n"/>
      <c r="G9" s="160" t="n"/>
    </row>
    <row r="11" ht="15" customHeight="1" s="125">
      <c r="A11" s="163" t="inlineStr">
        <is>
          <t>HOTEL MILESTONES (P50 path retained from monthly snapshot)</t>
        </is>
      </c>
      <c r="B11" s="164" t="n"/>
      <c r="C11" s="164" t="n"/>
      <c r="D11" s="164" t="n"/>
      <c r="E11" s="164" t="n"/>
      <c r="F11" s="164" t="n"/>
      <c r="G11" s="164" t="n"/>
    </row>
    <row r="12" ht="15" customHeight="1" s="125">
      <c r="A12" s="212" t="inlineStr">
        <is>
          <t>Milestone</t>
        </is>
      </c>
      <c r="B12" s="165" t="inlineStr">
        <is>
          <t>P50</t>
        </is>
      </c>
      <c r="C12" s="165" t="inlineStr">
        <is>
          <t>Notes</t>
        </is>
      </c>
      <c r="D12" s="165" t="n"/>
      <c r="E12" s="165" t="inlineStr">
        <is>
          <t>P75</t>
        </is>
      </c>
      <c r="F12" s="165" t="inlineStr">
        <is>
          <t>P90</t>
        </is>
      </c>
      <c r="G12" s="165" t="inlineStr">
        <is>
          <t>vs Scenario A</t>
        </is>
      </c>
    </row>
    <row r="13" ht="15" customHeight="1" s="125">
      <c r="A13" s="214" t="inlineStr">
        <is>
          <t>Month 6</t>
        </is>
      </c>
      <c r="B13" s="223" t="n">
        <v>14</v>
      </c>
      <c r="C13" s="223" t="inlineStr">
        <is>
          <t>Retained P50 path</t>
        </is>
      </c>
      <c r="D13" s="216" t="n"/>
      <c r="E13" s="223" t="inlineStr">
        <is>
          <t>—</t>
        </is>
      </c>
      <c r="F13" s="223" t="inlineStr">
        <is>
          <t>—</t>
        </is>
      </c>
      <c r="G13" s="214" t="inlineStr">
        <is>
          <t>—</t>
        </is>
      </c>
    </row>
    <row r="14" ht="15" customHeight="1" s="125">
      <c r="A14" s="157" t="inlineStr">
        <is>
          <t>Month 12</t>
        </is>
      </c>
      <c r="B14" s="215" t="n">
        <v>21</v>
      </c>
      <c r="C14" s="224" t="inlineStr">
        <is>
          <t>Retained P50 path</t>
        </is>
      </c>
      <c r="D14" s="215" t="n"/>
      <c r="E14" s="224" t="inlineStr">
        <is>
          <t>—</t>
        </is>
      </c>
      <c r="F14" s="215" t="n">
        <v>33</v>
      </c>
      <c r="G14" s="157" t="inlineStr">
        <is>
          <t>+6</t>
        </is>
      </c>
    </row>
    <row r="15" ht="15" customHeight="1" s="125">
      <c r="A15" s="214" t="inlineStr">
        <is>
          <t>Month 18</t>
        </is>
      </c>
      <c r="B15" s="216" t="n">
        <v>62</v>
      </c>
      <c r="C15" s="225" t="inlineStr">
        <is>
          <t>Retained P50 path</t>
        </is>
      </c>
      <c r="D15" s="216" t="n"/>
      <c r="E15" s="225" t="inlineStr">
        <is>
          <t>—</t>
        </is>
      </c>
      <c r="F15" s="216" t="n">
        <v>48</v>
      </c>
      <c r="G15" s="214" t="inlineStr">
        <is>
          <t>+9</t>
        </is>
      </c>
    </row>
    <row r="16" ht="15" customHeight="1" s="125">
      <c r="A16" s="157" t="inlineStr">
        <is>
          <t>Month 24</t>
        </is>
      </c>
      <c r="B16" s="215" t="n">
        <v>99</v>
      </c>
      <c r="C16" s="215" t="inlineStr">
        <is>
          <t>Retained P50 path</t>
        </is>
      </c>
      <c r="D16" s="215" t="n"/>
      <c r="E16" s="215" t="n">
        <v>115</v>
      </c>
      <c r="F16" s="215" t="n">
        <v>129</v>
      </c>
      <c r="G16" s="157" t="inlineStr">
        <is>
          <t>—</t>
        </is>
      </c>
    </row>
    <row r="17" ht="15" customHeight="1" s="125">
      <c r="A17" s="214" t="inlineStr">
        <is>
          <t>Month 36</t>
        </is>
      </c>
      <c r="B17" s="216" t="n">
        <v>502</v>
      </c>
      <c r="C17" s="225" t="inlineStr">
        <is>
          <t>Retained P50 path</t>
        </is>
      </c>
      <c r="D17" s="216" t="n"/>
      <c r="E17" s="225" t="inlineStr">
        <is>
          <t>—</t>
        </is>
      </c>
      <c r="F17" s="216" t="n">
        <v>135</v>
      </c>
      <c r="G17" s="214" t="inlineStr">
        <is>
          <t>+28</t>
        </is>
      </c>
    </row>
    <row r="18" ht="15" customHeight="1" s="125">
      <c r="A18" s="157" t="inlineStr">
        <is>
          <t>Month 48</t>
        </is>
      </c>
      <c r="B18" s="215" t="n">
        <v>818</v>
      </c>
      <c r="C18" s="215" t="inlineStr">
        <is>
          <t>Retained P50 path</t>
        </is>
      </c>
      <c r="D18" s="215" t="n"/>
      <c r="E18" s="215" t="n">
        <v>931</v>
      </c>
      <c r="F18" s="215" t="n">
        <v>1038</v>
      </c>
      <c r="G18" s="157" t="inlineStr">
        <is>
          <t>—</t>
        </is>
      </c>
    </row>
    <row r="19" ht="15" customHeight="1" s="125">
      <c r="A19" s="214" t="inlineStr">
        <is>
          <t>Month 60</t>
        </is>
      </c>
      <c r="B19" s="216" t="n">
        <v>886</v>
      </c>
      <c r="C19" s="225" t="inlineStr">
        <is>
          <t>Retained P50 path</t>
        </is>
      </c>
      <c r="D19" s="216" t="n"/>
      <c r="E19" s="225" t="inlineStr">
        <is>
          <t>—</t>
        </is>
      </c>
      <c r="F19" s="216" t="n">
        <v>424</v>
      </c>
      <c r="G19" s="214" t="inlineStr">
        <is>
          <t>+128</t>
        </is>
      </c>
    </row>
    <row r="21" ht="15" customHeight="1" s="125">
      <c r="A21" s="163" t="inlineStr">
        <is>
          <t>ARR TRAJECTORY (EUR)</t>
        </is>
      </c>
      <c r="B21" s="164" t="n"/>
      <c r="C21" s="164" t="n"/>
      <c r="D21" s="164" t="n"/>
      <c r="E21" s="164" t="n"/>
      <c r="F21" s="164" t="n"/>
      <c r="G21" s="164" t="n"/>
    </row>
    <row r="22" ht="15" customHeight="1" s="125">
      <c r="A22" s="212" t="inlineStr">
        <is>
          <t>Milestone</t>
        </is>
      </c>
      <c r="B22" s="165" t="inlineStr">
        <is>
          <t>P10</t>
        </is>
      </c>
      <c r="C22" s="165" t="inlineStr">
        <is>
          <t>P25</t>
        </is>
      </c>
      <c r="D22" s="165" t="inlineStr">
        <is>
          <t>P50</t>
        </is>
      </c>
      <c r="E22" s="165" t="inlineStr">
        <is>
          <t>P75</t>
        </is>
      </c>
      <c r="F22" s="165" t="inlineStr">
        <is>
          <t>P90</t>
        </is>
      </c>
      <c r="G22" s="165" t="inlineStr">
        <is>
          <t>vs Scenario A</t>
        </is>
      </c>
    </row>
    <row r="23" ht="15" customHeight="1" s="125">
      <c r="A23" s="214" t="inlineStr">
        <is>
          <t>Month 12</t>
        </is>
      </c>
      <c r="B23" s="216" t="n">
        <v>323423</v>
      </c>
      <c r="C23" s="216" t="n">
        <v>391209</v>
      </c>
      <c r="D23" s="216" t="n">
        <v>486928</v>
      </c>
      <c r="E23" s="216" t="n">
        <v>606000</v>
      </c>
      <c r="F23" s="216" t="n">
        <v>733277</v>
      </c>
      <c r="G23" s="214" t="inlineStr">
        <is>
          <t>+5%</t>
        </is>
      </c>
    </row>
    <row r="24" ht="15" customHeight="1" s="125">
      <c r="A24" s="157" t="inlineStr">
        <is>
          <t>Month 18</t>
        </is>
      </c>
      <c r="B24" s="215" t="n">
        <v>989324</v>
      </c>
      <c r="C24" s="215" t="n">
        <v>1246506</v>
      </c>
      <c r="D24" s="215" t="n">
        <v>1547509</v>
      </c>
      <c r="E24" s="215" t="n">
        <v>1878612</v>
      </c>
      <c r="F24" s="215" t="n">
        <v>2202507</v>
      </c>
      <c r="G24" s="157" t="inlineStr">
        <is>
          <t>+99%</t>
        </is>
      </c>
    </row>
    <row r="25" ht="15" customHeight="1" s="125">
      <c r="A25" s="214" t="inlineStr">
        <is>
          <t>Month 24</t>
        </is>
      </c>
      <c r="B25" s="216" t="n">
        <v>1703047</v>
      </c>
      <c r="C25" s="216" t="n">
        <v>2076296</v>
      </c>
      <c r="D25" s="216" t="n">
        <v>2582714</v>
      </c>
      <c r="E25" s="216" t="n">
        <v>3173308</v>
      </c>
      <c r="F25" s="216" t="n">
        <v>3767253</v>
      </c>
      <c r="G25" s="214" t="inlineStr">
        <is>
          <t>—</t>
        </is>
      </c>
    </row>
    <row r="26" ht="15" customHeight="1" s="125">
      <c r="A26" s="157" t="inlineStr">
        <is>
          <t>Month 36</t>
        </is>
      </c>
      <c r="B26" s="215" t="n">
        <v>10387079</v>
      </c>
      <c r="C26" s="215" t="n">
        <v>13212060</v>
      </c>
      <c r="D26" s="215" t="n">
        <v>16735554</v>
      </c>
      <c r="E26" s="215" t="n">
        <v>20665691</v>
      </c>
      <c r="F26" s="215" t="n">
        <v>24553645</v>
      </c>
      <c r="G26" s="157" t="inlineStr">
        <is>
          <t>+549%</t>
        </is>
      </c>
    </row>
    <row r="27" ht="15" customHeight="1" s="125">
      <c r="A27" s="214" t="inlineStr">
        <is>
          <t>Month 48</t>
        </is>
      </c>
      <c r="B27" s="216" t="n">
        <v>22783966</v>
      </c>
      <c r="C27" s="216" t="n">
        <v>25639903</v>
      </c>
      <c r="D27" s="216" t="n">
        <v>29604998</v>
      </c>
      <c r="E27" s="216" t="n">
        <v>34852501</v>
      </c>
      <c r="F27" s="216" t="n">
        <v>40716173</v>
      </c>
      <c r="G27" s="214" t="inlineStr">
        <is>
          <t>—</t>
        </is>
      </c>
    </row>
    <row r="28" ht="15" customHeight="1" s="125">
      <c r="A28" s="157" t="inlineStr">
        <is>
          <t>Month 60</t>
        </is>
      </c>
      <c r="B28" s="215" t="n">
        <v>24926447</v>
      </c>
      <c r="C28" s="215" t="n">
        <v>28069088</v>
      </c>
      <c r="D28" s="215" t="n">
        <v>34055136</v>
      </c>
      <c r="E28" s="215" t="n">
        <v>44751357</v>
      </c>
      <c r="F28" s="215" t="n">
        <v>55550176</v>
      </c>
      <c r="G28" s="157" t="inlineStr">
        <is>
          <t>+288%</t>
        </is>
      </c>
    </row>
    <row r="30" ht="15" customHeight="1" s="125">
      <c r="A30" s="163" t="inlineStr">
        <is>
          <t>MONTHLY P&amp;L SNAPSHOT (P50, EUR)</t>
        </is>
      </c>
      <c r="B30" s="164" t="n"/>
      <c r="C30" s="164" t="n"/>
      <c r="D30" s="164" t="n"/>
      <c r="E30" s="164" t="n"/>
      <c r="F30" s="164" t="n"/>
      <c r="G30" s="164" t="n"/>
    </row>
    <row r="31" ht="15" customHeight="1" s="125">
      <c r="A31" s="212" t="inlineStr">
        <is>
          <t>Month</t>
        </is>
      </c>
      <c r="B31" s="218" t="inlineStr">
        <is>
          <t>MRR</t>
        </is>
      </c>
      <c r="C31" s="218" t="inlineStr">
        <is>
          <t>Hotels</t>
        </is>
      </c>
      <c r="D31" s="218" t="inlineStr">
        <is>
          <t>Total Costs</t>
        </is>
      </c>
      <c r="E31" s="218" t="inlineStr">
        <is>
          <t>Net Income</t>
        </is>
      </c>
      <c r="F31" s="218" t="inlineStr">
        <is>
          <t>Cash</t>
        </is>
      </c>
      <c r="G31" s="218" t="inlineStr">
        <is>
          <t>Team</t>
        </is>
      </c>
    </row>
    <row r="32" ht="15" customHeight="1" s="125">
      <c r="A32" s="214" t="inlineStr">
        <is>
          <t>M1</t>
        </is>
      </c>
      <c r="B32" s="216" t="n">
        <v>3635</v>
      </c>
      <c r="C32" s="216" t="n">
        <v>2</v>
      </c>
      <c r="D32" s="216" t="n">
        <v>11173</v>
      </c>
      <c r="E32" s="216" t="n">
        <v>-7972</v>
      </c>
      <c r="F32" s="216" t="n">
        <v>269806</v>
      </c>
      <c r="G32" s="216" t="n">
        <v>1</v>
      </c>
    </row>
    <row r="33" ht="15" customHeight="1" s="125">
      <c r="A33" s="157" t="inlineStr">
        <is>
          <t>M6</t>
        </is>
      </c>
      <c r="B33" s="215" t="n">
        <v>26339</v>
      </c>
      <c r="C33" s="215" t="n">
        <v>14</v>
      </c>
      <c r="D33" s="215" t="n">
        <v>14945</v>
      </c>
      <c r="E33" s="215" t="n">
        <v>7381</v>
      </c>
      <c r="F33" s="215" t="n">
        <v>269850</v>
      </c>
      <c r="G33" s="215" t="n">
        <v>1</v>
      </c>
    </row>
    <row r="34" ht="15" customHeight="1" s="125">
      <c r="A34" s="214" t="inlineStr">
        <is>
          <t>M12</t>
        </is>
      </c>
      <c r="B34" s="216" t="n">
        <v>40577</v>
      </c>
      <c r="C34" s="216" t="n">
        <v>21</v>
      </c>
      <c r="D34" s="216" t="n">
        <v>35321</v>
      </c>
      <c r="E34" s="216" t="n">
        <v>5207</v>
      </c>
      <c r="F34" s="216" t="n">
        <v>299813</v>
      </c>
      <c r="G34" s="216" t="n">
        <v>2</v>
      </c>
    </row>
    <row r="35" ht="15" customHeight="1" s="125">
      <c r="A35" s="157" t="inlineStr">
        <is>
          <t>M18</t>
        </is>
      </c>
      <c r="B35" s="215" t="n">
        <v>128959</v>
      </c>
      <c r="C35" s="215" t="n">
        <v>62</v>
      </c>
      <c r="D35" s="215" t="n">
        <v>59454</v>
      </c>
      <c r="E35" s="215" t="n">
        <v>70422</v>
      </c>
      <c r="F35" s="215" t="n">
        <v>485101</v>
      </c>
      <c r="G35" s="215" t="n">
        <v>3</v>
      </c>
    </row>
    <row r="36" ht="15" customHeight="1" s="125">
      <c r="A36" s="214" t="inlineStr">
        <is>
          <t>M24</t>
        </is>
      </c>
      <c r="B36" s="216" t="n">
        <v>215226</v>
      </c>
      <c r="C36" s="216" t="n">
        <v>99</v>
      </c>
      <c r="D36" s="216" t="n">
        <v>63570</v>
      </c>
      <c r="E36" s="216" t="n">
        <v>151393</v>
      </c>
      <c r="F36" s="216" t="n">
        <v>1132290</v>
      </c>
      <c r="G36" s="216" t="n">
        <v>5</v>
      </c>
    </row>
    <row r="37" ht="15" customHeight="1" s="125">
      <c r="A37" s="226" t="inlineStr">
        <is>
          <t>M27</t>
        </is>
      </c>
      <c r="B37" s="227" t="n">
        <v>281531</v>
      </c>
      <c r="C37" s="227" t="n">
        <v>128</v>
      </c>
      <c r="D37" s="227" t="n">
        <v>67755</v>
      </c>
      <c r="E37" s="227" t="n">
        <v>213921</v>
      </c>
      <c r="F37" s="227" t="n">
        <v>5708048</v>
      </c>
      <c r="G37" s="228" t="inlineStr">
        <is>
          <t>← Series A</t>
        </is>
      </c>
    </row>
    <row r="38" ht="15" customHeight="1" s="125">
      <c r="A38" s="214" t="inlineStr">
        <is>
          <t>M30</t>
        </is>
      </c>
      <c r="B38" s="216" t="n">
        <v>390113</v>
      </c>
      <c r="C38" s="216" t="n">
        <v>172</v>
      </c>
      <c r="D38" s="216" t="n">
        <v>112654</v>
      </c>
      <c r="E38" s="216" t="n">
        <v>276644</v>
      </c>
      <c r="F38" s="216" t="n">
        <v>6496623</v>
      </c>
      <c r="G38" s="216" t="n">
        <v>5</v>
      </c>
    </row>
    <row r="39" ht="15" customHeight="1" s="125">
      <c r="A39" s="157" t="inlineStr">
        <is>
          <t>M33</t>
        </is>
      </c>
      <c r="B39" s="215" t="n">
        <v>649097</v>
      </c>
      <c r="C39" s="215" t="n">
        <v>240</v>
      </c>
      <c r="D39" s="215" t="n">
        <v>127799</v>
      </c>
      <c r="E39" s="215" t="n">
        <v>521135</v>
      </c>
      <c r="F39" s="215" t="n">
        <v>7636526</v>
      </c>
      <c r="G39" s="215" t="n">
        <v>8</v>
      </c>
    </row>
    <row r="40" ht="15" customHeight="1" s="125">
      <c r="A40" s="214" t="inlineStr">
        <is>
          <t>M36</t>
        </is>
      </c>
      <c r="B40" s="216" t="n">
        <v>1394629</v>
      </c>
      <c r="C40" s="216" t="n">
        <v>502</v>
      </c>
      <c r="D40" s="216" t="n">
        <v>172481</v>
      </c>
      <c r="E40" s="216" t="n">
        <v>1221982</v>
      </c>
      <c r="F40" s="216" t="n">
        <v>10522913</v>
      </c>
      <c r="G40" s="216" t="n">
        <v>8</v>
      </c>
    </row>
    <row r="41" ht="15" customHeight="1" s="125">
      <c r="A41" s="157" t="inlineStr">
        <is>
          <t>M42</t>
        </is>
      </c>
      <c r="B41" s="215" t="n">
        <v>2248036</v>
      </c>
      <c r="C41" s="215" t="n">
        <v>780</v>
      </c>
      <c r="D41" s="215" t="n">
        <v>222336</v>
      </c>
      <c r="E41" s="215" t="n">
        <v>2024848</v>
      </c>
      <c r="F41" s="215" t="n">
        <v>21123515</v>
      </c>
      <c r="G41" s="215" t="n">
        <v>8</v>
      </c>
    </row>
    <row r="42" ht="15" customHeight="1" s="125">
      <c r="A42" s="214" t="inlineStr">
        <is>
          <t>M48</t>
        </is>
      </c>
      <c r="B42" s="216" t="n">
        <v>2467083</v>
      </c>
      <c r="C42" s="216" t="n">
        <v>818</v>
      </c>
      <c r="D42" s="216" t="n">
        <v>235833</v>
      </c>
      <c r="E42" s="216" t="n">
        <v>2232438</v>
      </c>
      <c r="F42" s="216" t="n">
        <v>33707725</v>
      </c>
      <c r="G42" s="216" t="n">
        <v>8</v>
      </c>
    </row>
    <row r="43" ht="15" customHeight="1" s="125">
      <c r="A43" s="157" t="inlineStr">
        <is>
          <t>M54</t>
        </is>
      </c>
      <c r="B43" s="215" t="n">
        <v>2669239</v>
      </c>
      <c r="C43" s="215" t="n">
        <v>858</v>
      </c>
      <c r="D43" s="215" t="n">
        <v>247128</v>
      </c>
      <c r="E43" s="215" t="n">
        <v>2421366</v>
      </c>
      <c r="F43" s="215" t="n">
        <v>47666864</v>
      </c>
      <c r="G43" s="215" t="n">
        <v>8</v>
      </c>
    </row>
    <row r="44" ht="15" customHeight="1" s="125">
      <c r="A44" s="214" t="inlineStr">
        <is>
          <t>M60</t>
        </is>
      </c>
      <c r="B44" s="216" t="n">
        <v>2837928</v>
      </c>
      <c r="C44" s="216" t="n">
        <v>886</v>
      </c>
      <c r="D44" s="216" t="n">
        <v>257064</v>
      </c>
      <c r="E44" s="216" t="n">
        <v>2581774</v>
      </c>
      <c r="F44" s="216" t="n">
        <v>62491641</v>
      </c>
      <c r="G44" s="216" t="n">
        <v>8</v>
      </c>
    </row>
    <row r="46" ht="15" customHeight="1" s="125">
      <c r="A46" s="163" t="inlineStr">
        <is>
          <t>MILESTONE PROBABILITIES</t>
        </is>
      </c>
      <c r="B46" s="164" t="n"/>
      <c r="C46" s="164" t="n"/>
      <c r="D46" s="164" t="n"/>
      <c r="E46" s="164" t="n"/>
      <c r="F46" s="164" t="n"/>
      <c r="G46" s="164" t="n"/>
    </row>
    <row r="47" ht="15" customHeight="1" s="125">
      <c r="A47" s="212" t="inlineStr">
        <is>
          <t>Milestone</t>
        </is>
      </c>
      <c r="B47" s="218" t="inlineStr">
        <is>
          <t>Probability</t>
        </is>
      </c>
      <c r="C47" s="218" t="n"/>
      <c r="D47" s="218" t="inlineStr">
        <is>
          <t>Notes</t>
        </is>
      </c>
      <c r="E47" s="218" t="n"/>
      <c r="F47" s="218" t="n"/>
      <c r="G47" s="218" t="n"/>
    </row>
    <row r="48" ht="15" customHeight="1" s="125">
      <c r="A48" s="214" t="inlineStr">
        <is>
          <t>5 hotels by M12</t>
        </is>
      </c>
      <c r="B48" s="219" t="n">
        <v>1</v>
      </c>
      <c r="C48" s="214" t="n"/>
      <c r="D48" s="214" t="n"/>
      <c r="E48" s="214" t="n"/>
      <c r="F48" s="214" t="n"/>
      <c r="G48" s="214" t="n"/>
    </row>
    <row r="49" ht="15" customHeight="1" s="125">
      <c r="A49" s="157" t="inlineStr">
        <is>
          <t>€25K MRR by M18</t>
        </is>
      </c>
      <c r="B49" s="220" t="n">
        <v>0.9999</v>
      </c>
      <c r="C49" s="157" t="n"/>
      <c r="D49" s="157" t="n"/>
      <c r="E49" s="157" t="n"/>
      <c r="F49" s="157" t="n"/>
      <c r="G49" s="157" t="n"/>
    </row>
    <row r="50" ht="15" customHeight="1" s="125">
      <c r="A50" s="214" t="inlineStr">
        <is>
          <t>€75K MRR by M24</t>
        </is>
      </c>
      <c r="B50" s="219" t="n">
        <v>0.9992</v>
      </c>
      <c r="C50" s="214" t="n"/>
      <c r="D50" s="214" t="n"/>
      <c r="E50" s="214" t="n"/>
      <c r="F50" s="214" t="n"/>
      <c r="G50" s="214" t="n"/>
    </row>
    <row r="51" ht="15" customHeight="1" s="125">
      <c r="A51" s="157" t="inlineStr">
        <is>
          <t>€1M ARR by M24</t>
        </is>
      </c>
      <c r="B51" s="220" t="n">
        <v>0.9981</v>
      </c>
      <c r="C51" s="157" t="n"/>
      <c r="D51" s="157" t="n"/>
      <c r="E51" s="157" t="n"/>
      <c r="F51" s="157" t="n"/>
      <c r="G51" s="157" t="n"/>
    </row>
    <row r="52" ht="15" customHeight="1" s="125">
      <c r="A52" s="214" t="inlineStr">
        <is>
          <t>€5M ARR by M36</t>
        </is>
      </c>
      <c r="B52" s="219" t="n">
        <v>0.9978</v>
      </c>
      <c r="C52" s="214" t="n"/>
      <c r="D52" s="214" t="n"/>
      <c r="E52" s="214" t="n"/>
      <c r="F52" s="214" t="n"/>
      <c r="G52" s="214" t="n"/>
    </row>
    <row r="53" ht="15" customHeight="1" s="125">
      <c r="A53" s="157" t="inlineStr">
        <is>
          <t>€10M ARR by M48</t>
        </is>
      </c>
      <c r="B53" s="220" t="n">
        <v>0.9989</v>
      </c>
      <c r="C53" s="157" t="n"/>
      <c r="D53" s="157" t="n"/>
      <c r="E53" s="157" t="n"/>
      <c r="F53" s="157" t="n"/>
      <c r="G53" s="157" t="n"/>
    </row>
    <row r="54" ht="15" customHeight="1" s="125">
      <c r="A54" s="214" t="inlineStr">
        <is>
          <t>€15M ARR by M60</t>
        </is>
      </c>
      <c r="B54" s="219" t="n">
        <v>0.9972</v>
      </c>
      <c r="C54" s="214" t="n"/>
      <c r="D54" s="214" t="n"/>
      <c r="E54" s="214" t="n"/>
      <c r="F54" s="214" t="n"/>
      <c r="G54" s="214" t="n"/>
    </row>
    <row r="55" ht="15" customHeight="1" s="125">
      <c r="A55" s="157" t="inlineStr">
        <is>
          <t>€20M ARR by M60</t>
        </is>
      </c>
      <c r="B55" s="220" t="n">
        <v>0.9892</v>
      </c>
      <c r="C55" s="157" t="n"/>
      <c r="D55" s="157" t="n"/>
      <c r="E55" s="157" t="n"/>
      <c r="F55" s="157" t="n"/>
      <c r="G55" s="157" t="n"/>
    </row>
    <row r="56" ht="15" customHeight="1" s="125">
      <c r="A56" s="214" t="inlineStr">
        <is>
          <t>Breakeven by M9</t>
        </is>
      </c>
      <c r="B56" s="219" t="n">
        <v>0.9782</v>
      </c>
      <c r="C56" s="214" t="n"/>
      <c r="D56" s="214" t="n"/>
      <c r="E56" s="214" t="n"/>
      <c r="F56" s="214" t="n"/>
      <c r="G56" s="214" t="n"/>
    </row>
    <row r="57" ht="15" customHeight="1" s="125">
      <c r="A57" s="157" t="inlineStr">
        <is>
          <t>Breakeven by M12</t>
        </is>
      </c>
      <c r="B57" s="220" t="n">
        <v>0.9855</v>
      </c>
      <c r="C57" s="157" t="n"/>
      <c r="D57" s="157" t="n"/>
      <c r="E57" s="157" t="n"/>
      <c r="F57" s="157" t="n"/>
      <c r="G57" s="157" t="n"/>
    </row>
    <row r="58" ht="15" customHeight="1" s="125">
      <c r="A58" s="214" t="inlineStr">
        <is>
          <t>Cash negative ever</t>
        </is>
      </c>
      <c r="B58" s="219" t="n">
        <v>0.0007</v>
      </c>
      <c r="C58" s="214" t="n"/>
      <c r="D58" s="214" t="n"/>
      <c r="E58" s="214" t="n"/>
      <c r="F58" s="214" t="n"/>
      <c r="G58" s="214" t="n"/>
    </row>
    <row r="59" ht="15" customHeight="1" s="125">
      <c r="A59" s="157" t="inlineStr">
        <is>
          <t>€100M exit (4x) by M60</t>
        </is>
      </c>
      <c r="B59" s="220" t="n">
        <v>0.8966</v>
      </c>
      <c r="C59" s="157" t="n"/>
      <c r="D59" s="157" t="n"/>
      <c r="E59" s="157" t="n"/>
      <c r="F59" s="157" t="n"/>
      <c r="G59" s="157" t="n"/>
    </row>
    <row r="60" ht="15" customHeight="1" s="125">
      <c r="A60" s="214" t="inlineStr">
        <is>
          <t>€100M exit (5.5x) by M60</t>
        </is>
      </c>
      <c r="B60" s="219" t="n">
        <v>0.9933</v>
      </c>
      <c r="C60" s="214" t="n"/>
      <c r="D60" s="214" t="n"/>
      <c r="E60" s="214" t="n"/>
      <c r="F60" s="214" t="n"/>
      <c r="G60" s="214" t="n"/>
    </row>
    <row r="61" ht="15" customHeight="1" s="125">
      <c r="A61" s="157" t="inlineStr">
        <is>
          <t>€100M exit (7x) by M60</t>
        </is>
      </c>
      <c r="B61" s="220" t="n">
        <v>0.9977</v>
      </c>
      <c r="C61" s="157" t="n"/>
      <c r="D61" s="157" t="n"/>
      <c r="E61" s="157" t="n"/>
      <c r="F61" s="157" t="n"/>
      <c r="G61" s="157" t="n"/>
    </row>
    <row r="62" ht="15" customHeight="1" s="125">
      <c r="A62" s="163" t="inlineStr">
        <is>
          <t>EXIT VALUATION AT MONTH 60 (EUR)</t>
        </is>
      </c>
      <c r="B62" s="164" t="n"/>
      <c r="C62" s="164" t="n"/>
      <c r="D62" s="164" t="n"/>
      <c r="E62" s="164" t="n"/>
      <c r="F62" s="164" t="n"/>
      <c r="G62" s="164" t="n"/>
    </row>
    <row r="63" ht="15" customHeight="1" s="125">
      <c r="A63" s="212" t="inlineStr">
        <is>
          <t>Metric</t>
        </is>
      </c>
      <c r="B63" s="218" t="inlineStr">
        <is>
          <t>P10</t>
        </is>
      </c>
      <c r="C63" s="218" t="inlineStr">
        <is>
          <t>P25</t>
        </is>
      </c>
      <c r="D63" s="218" t="inlineStr">
        <is>
          <t>P50</t>
        </is>
      </c>
      <c r="E63" s="218" t="inlineStr">
        <is>
          <t>P75</t>
        </is>
      </c>
      <c r="F63" s="218" t="inlineStr">
        <is>
          <t>P90</t>
        </is>
      </c>
      <c r="G63" s="218" t="n"/>
    </row>
    <row r="64" ht="15" customHeight="1" s="125">
      <c r="A64" s="214" t="inlineStr">
        <is>
          <t>Exit (5.5x ARR)</t>
        </is>
      </c>
      <c r="B64" s="216" t="n">
        <v>137095457</v>
      </c>
      <c r="C64" s="216" t="n">
        <v>154379983</v>
      </c>
      <c r="D64" s="216" t="n">
        <v>187303250</v>
      </c>
      <c r="E64" s="216" t="n">
        <v>246132461</v>
      </c>
      <c r="F64" s="216" t="n">
        <v>305525966</v>
      </c>
      <c r="G64" s="214" t="n"/>
    </row>
    <row r="65" ht="15" customHeight="1" s="125">
      <c r="A65" s="157" t="inlineStr">
        <is>
          <t>EUR 100M+ exit prob</t>
        </is>
      </c>
      <c r="B65" s="157" t="inlineStr">
        <is>
          <t>90%</t>
        </is>
      </c>
      <c r="C65" s="157" t="n"/>
      <c r="D65" s="157" t="inlineStr">
        <is>
          <t>P10 is EUR 137M at 5.5x. Highly likely to clear EUR 100M.</t>
        </is>
      </c>
      <c r="E65" s="157" t="n"/>
      <c r="F65" s="157" t="n"/>
      <c r="G65" s="157" t="n"/>
    </row>
    <row r="67" ht="15" customHeight="1" s="125">
      <c r="A67" s="163" t="inlineStr">
        <is>
          <t>AI-NATIVE EFFICIENCY METRICS</t>
        </is>
      </c>
      <c r="B67" s="164" t="n"/>
      <c r="C67" s="164" t="n"/>
      <c r="D67" s="164" t="n"/>
      <c r="E67" s="164" t="n"/>
      <c r="F67" s="164" t="n"/>
      <c r="G67" s="164" t="n"/>
    </row>
    <row r="68" ht="15" customHeight="1" s="125">
      <c r="A68" s="214" t="inlineStr">
        <is>
          <t>Max team size</t>
        </is>
      </c>
      <c r="B68" s="216" t="n">
        <v>18</v>
      </c>
      <c r="C68" s="214" t="n"/>
      <c r="D68" s="214" t="inlineStr">
        <is>
          <t>vs 8 (operator) or 60 (full VC). AI replaces headcount.</t>
        </is>
      </c>
      <c r="E68" s="214" t="n"/>
      <c r="F68" s="214" t="n"/>
      <c r="G68" s="214" t="n"/>
    </row>
    <row r="69" ht="15" customHeight="1" s="125">
      <c r="A69" s="157" t="inlineStr">
        <is>
          <t>Rev/employee (P50)</t>
        </is>
      </c>
      <c r="B69" s="215" t="n">
        <v>1891952</v>
      </c>
      <c r="C69" s="157" t="n"/>
      <c r="D69" s="157" t="inlineStr">
        <is>
          <t>EUR 34M ARR / 18 people. Best-in-class vertical SaaS.</t>
        </is>
      </c>
      <c r="E69" s="157" t="n"/>
      <c r="F69" s="157" t="n"/>
      <c r="G69" s="157" t="n"/>
    </row>
    <row r="70" ht="15" customHeight="1" s="125">
      <c r="A70" s="214" t="inlineStr">
        <is>
          <t>Capital efficiency</t>
        </is>
      </c>
      <c r="B70" s="214" t="inlineStr">
        <is>
          <t>8.0x</t>
        </is>
      </c>
      <c r="C70" s="214" t="n"/>
      <c r="D70" s="214" t="inlineStr">
        <is>
          <t>EUR 34M ARR on EUR 4.3M total capital.</t>
        </is>
      </c>
      <c r="E70" s="214" t="n"/>
      <c r="F70" s="214" t="n"/>
      <c r="G70" s="214" t="n"/>
    </row>
    <row r="71" ht="15" customHeight="1" s="125">
      <c r="A71" s="157" t="inlineStr">
        <is>
          <t>vs Path B (full VC)</t>
        </is>
      </c>
      <c r="B71" s="157" t="inlineStr">
        <is>
          <t>60 people</t>
        </is>
      </c>
      <c r="C71" s="157" t="n"/>
      <c r="D71" s="157" t="inlineStr">
        <is>
          <t>EUR 99M ARR but EUR 42M capital and 60 team.</t>
        </is>
      </c>
      <c r="E71" s="157" t="n"/>
      <c r="F71" s="157" t="n"/>
      <c r="G71" s="157" t="n"/>
    </row>
    <row r="73" ht="15" customHeight="1" s="125">
      <c r="A73" s="163" t="inlineStr">
        <is>
          <t>SCENARIO NARRATIVE</t>
        </is>
      </c>
      <c r="B73" s="164" t="n"/>
      <c r="C73" s="164" t="n"/>
      <c r="D73" s="164" t="n"/>
      <c r="E73" s="164" t="n"/>
      <c r="F73" s="164" t="n"/>
      <c r="G73" s="164" t="n"/>
    </row>
    <row r="74" ht="15" customHeight="1" s="125">
      <c r="A74" s="211" t="inlineStr">
        <is>
          <t>Path C is the recommended strategic path. Same early trajectory as operator-seeded (M1-24 identical).</t>
        </is>
      </c>
    </row>
    <row r="75" ht="15" customHeight="1" s="125">
      <c r="A75" s="211" t="inlineStr">
        <is>
          <t>EUR 4M strategic raise at M27 from a hospitality-specific investor (not a generalist VC).</t>
        </is>
      </c>
    </row>
    <row r="76" ht="15" customHeight="1" s="125">
      <c r="A76" s="211" t="inlineStr">
        <is>
          <t>Capital buys: faster PMS integrations, accelerated GTM (5 markets vs 2), portfolio expansion deals.</t>
        </is>
      </c>
    </row>
    <row r="77" ht="15" customHeight="1" s="125">
      <c r="A77" s="211" t="inlineStr">
        <is>
          <t>Team grows to 18 (not 60) — AI-native model means margin stays high (66-75%).</t>
        </is>
      </c>
    </row>
    <row r="78" ht="15" customHeight="1" s="125">
      <c r="A78" s="211" t="inlineStr">
        <is>
          <t>M36 P50: 502 hotels, EUR 16.7M ARR. M60 P50: 886 hotels, EUR 34M ARR, EUR 187M exit.</t>
        </is>
      </c>
    </row>
    <row r="79" ht="15" customHeight="1" s="125">
      <c r="A79" s="211" t="inlineStr">
        <is>
          <t>NOTE: M33+ numbers assume group rollouts landing. Conservative read: cap at 300-400 hotels M36.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6" customWidth="1" style="124" min="1" max="1"/>
    <col width="16" customWidth="1" style="124" min="2" max="6"/>
    <col width="36" customWidth="1" style="124" min="7" max="7"/>
  </cols>
  <sheetData>
    <row r="1" ht="15.75" customHeight="1" s="125">
      <c r="A1" s="210" t="inlineStr">
        <is>
          <t>TERCIER — Market Validation (Synthetic Buyer Research)</t>
        </is>
      </c>
    </row>
    <row r="2" ht="15" customHeight="1" s="125">
      <c r="A2" s="211" t="inlineStr">
        <is>
          <t>272 Swiss 4-5★ hotels. 3 replications × 2 roles × adversarial + judge. Models: gpt-5-mini / gpt-5.</t>
        </is>
      </c>
    </row>
    <row r="4" ht="15" customHeight="1" s="125">
      <c r="A4" s="163" t="inlineStr">
        <is>
          <t>DATASET OVERVIEW</t>
        </is>
      </c>
      <c r="B4" s="164" t="n"/>
      <c r="C4" s="164" t="n"/>
      <c r="D4" s="164" t="n"/>
      <c r="E4" s="164" t="n"/>
      <c r="F4" s="164" t="n"/>
      <c r="G4" s="164" t="n"/>
    </row>
    <row r="5" ht="15" customHeight="1" s="125">
      <c r="A5" s="212" t="inlineStr">
        <is>
          <t>Metric</t>
        </is>
      </c>
      <c r="B5" s="218" t="inlineStr">
        <is>
          <t>Value</t>
        </is>
      </c>
      <c r="C5" s="218" t="n"/>
      <c r="D5" s="218" t="inlineStr">
        <is>
          <t>Notes</t>
        </is>
      </c>
      <c r="E5" s="218" t="n"/>
      <c r="F5" s="218" t="n"/>
      <c r="G5" s="218" t="n"/>
    </row>
    <row r="6" ht="15" customHeight="1" s="125">
      <c r="A6" s="214" t="inlineStr">
        <is>
          <t>Total HotellerieSuisse members</t>
        </is>
      </c>
      <c r="B6" s="216" t="n">
        <v>2069</v>
      </c>
      <c r="C6" s="214" t="n"/>
      <c r="D6" s="214" t="inlineStr">
        <is>
          <t>Full Swiss hotel association database</t>
        </is>
      </c>
      <c r="E6" s="214" t="n"/>
      <c r="F6" s="214" t="n"/>
      <c r="G6" s="214" t="n"/>
    </row>
    <row r="7" ht="15" customHeight="1" s="125">
      <c r="A7" s="157" t="inlineStr">
        <is>
          <t>Hotels selected for enrichment</t>
        </is>
      </c>
      <c r="B7" s="215" t="n">
        <v>718</v>
      </c>
      <c r="C7" s="157" t="n"/>
      <c r="D7" s="157" t="inlineStr">
        <is>
          <t>4-5★ + premium 3★</t>
        </is>
      </c>
      <c r="E7" s="157" t="n"/>
      <c r="F7" s="157" t="n"/>
      <c r="G7" s="157" t="n"/>
    </row>
    <row r="8" ht="15" customHeight="1" s="125">
      <c r="A8" s="214" t="inlineStr">
        <is>
          <t>Hotels surveyed (4-5★, ADR ≥ CHF 250)</t>
        </is>
      </c>
      <c r="B8" s="216" t="n">
        <v>272</v>
      </c>
      <c r="C8" s="214" t="n"/>
      <c r="D8" s="214" t="inlineStr">
        <is>
          <t>Core premium TAM</t>
        </is>
      </c>
      <c r="E8" s="214" t="n"/>
      <c r="F8" s="214" t="n"/>
      <c r="G8" s="214" t="n"/>
    </row>
    <row r="9" ht="15" customHeight="1" s="125">
      <c r="A9" s="157" t="inlineStr">
        <is>
          <t>5★ hotels in survey</t>
        </is>
      </c>
      <c r="B9" s="215" t="n">
        <v>83</v>
      </c>
      <c r="C9" s="157" t="n"/>
      <c r="D9" s="157" t="inlineStr">
        <is>
          <t>30% of surveyed cohort</t>
        </is>
      </c>
      <c r="E9" s="157" t="n"/>
      <c r="F9" s="157" t="n"/>
      <c r="G9" s="157" t="n"/>
    </row>
    <row r="10" ht="15" customHeight="1" s="125">
      <c r="A10" s="214" t="inlineStr">
        <is>
          <t>4★ hotels in survey</t>
        </is>
      </c>
      <c r="B10" s="216" t="n">
        <v>189</v>
      </c>
      <c r="C10" s="214" t="n"/>
      <c r="D10" s="214" t="inlineStr">
        <is>
          <t>70% of surveyed cohort</t>
        </is>
      </c>
      <c r="E10" s="214" t="n"/>
      <c r="F10" s="214" t="n"/>
      <c r="G10" s="214" t="n"/>
    </row>
    <row r="11" ht="15" customHeight="1" s="125">
      <c r="A11" s="157" t="inlineStr">
        <is>
          <t>Median ADR</t>
        </is>
      </c>
      <c r="B11" s="215" t="n">
        <v>403</v>
      </c>
      <c r="C11" s="157" t="n"/>
      <c r="D11" s="157" t="inlineStr">
        <is>
          <t>CHF. Range: CHF 253 – 27,857</t>
        </is>
      </c>
      <c r="E11" s="157" t="n"/>
      <c r="F11" s="157" t="n"/>
      <c r="G11" s="157" t="n"/>
    </row>
    <row r="12" ht="15" customHeight="1" s="125">
      <c r="A12" s="214" t="inlineStr">
        <is>
          <t>Total interview replications</t>
        </is>
      </c>
      <c r="B12" s="216" t="n">
        <v>1632</v>
      </c>
      <c r="C12" s="214" t="n"/>
      <c r="D12" s="214" t="inlineStr">
        <is>
          <t>272 × 3 reps × 2 roles</t>
        </is>
      </c>
      <c r="E12" s="214" t="n"/>
      <c r="F12" s="214" t="n"/>
      <c r="G12" s="214" t="n"/>
    </row>
    <row r="13" ht="15" customHeight="1" s="125">
      <c r="A13" s="157" t="inlineStr">
        <is>
          <t>Adversarial passes</t>
        </is>
      </c>
      <c r="B13" s="215" t="n">
        <v>544</v>
      </c>
      <c r="C13" s="157" t="n"/>
      <c r="D13" s="157" t="inlineStr">
        <is>
          <t>272 × 2 roles</t>
        </is>
      </c>
      <c r="E13" s="157" t="n"/>
      <c r="F13" s="157" t="n"/>
      <c r="G13" s="157" t="n"/>
    </row>
    <row r="14" ht="15" customHeight="1" s="125">
      <c r="A14" s="214" t="inlineStr">
        <is>
          <t>Judge normalizations</t>
        </is>
      </c>
      <c r="B14" s="216" t="n">
        <v>544</v>
      </c>
      <c r="C14" s="214" t="n"/>
      <c r="D14" s="214" t="inlineStr">
        <is>
          <t>272 × 2 roles (gpt-5)</t>
        </is>
      </c>
      <c r="E14" s="214" t="n"/>
      <c r="F14" s="214" t="n"/>
      <c r="G14" s="214" t="n"/>
    </row>
    <row r="16" ht="15" customHeight="1" s="125">
      <c r="A16" s="163" t="inlineStr">
        <is>
          <t>PRICING ELASTICITY</t>
        </is>
      </c>
      <c r="B16" s="164" t="n"/>
      <c r="C16" s="164" t="n"/>
      <c r="D16" s="164" t="n"/>
      <c r="E16" s="164" t="n"/>
      <c r="F16" s="164" t="n"/>
      <c r="G16" s="164" t="n"/>
    </row>
    <row r="17" ht="15" customHeight="1" s="125">
      <c r="A17" s="212" t="inlineStr">
        <is>
          <t>Price Point</t>
        </is>
      </c>
      <c r="B17" s="218" t="inlineStr">
        <is>
          <t>Buy Likelihood</t>
        </is>
      </c>
      <c r="C17" s="218" t="inlineStr">
        <is>
          <t>Hotels (of 272)</t>
        </is>
      </c>
      <c r="D17" s="218" t="inlineStr">
        <is>
          <t>Revenue Potential</t>
        </is>
      </c>
      <c r="E17" s="218" t="n"/>
      <c r="F17" s="218" t="n"/>
      <c r="G17" s="218" t="inlineStr">
        <is>
          <t>Implication</t>
        </is>
      </c>
    </row>
    <row r="18" ht="15" customHeight="1" s="125">
      <c r="A18" s="214" t="inlineStr">
        <is>
          <t>CHF 1,000-2,000/mo</t>
        </is>
      </c>
      <c r="B18" s="214" t="inlineStr">
        <is>
          <t>84% recommend</t>
        </is>
      </c>
      <c r="C18" s="216" t="n">
        <v>229</v>
      </c>
      <c r="D18" s="214" t="n"/>
      <c r="E18" s="214" t="n"/>
      <c r="F18" s="214" t="n"/>
      <c r="G18" s="214" t="inlineStr">
        <is>
          <t>Landing price for PoV pilots</t>
        </is>
      </c>
    </row>
    <row r="19" ht="15" customHeight="1" s="125">
      <c r="A19" s="157" t="inlineStr">
        <is>
          <t>CHF 2,000-3,000/mo</t>
        </is>
      </c>
      <c r="B19" s="157" t="inlineStr">
        <is>
          <t>10% recommend</t>
        </is>
      </c>
      <c r="C19" s="215" t="n">
        <v>26</v>
      </c>
      <c r="D19" s="157" t="n"/>
      <c r="E19" s="157" t="n"/>
      <c r="F19" s="157" t="n"/>
      <c r="G19" s="157" t="inlineStr">
        <is>
          <t>Upsell tier after proof</t>
        </is>
      </c>
    </row>
    <row r="20" ht="15" customHeight="1" s="125">
      <c r="A20" s="160" t="inlineStr">
        <is>
          <t>CHF 3,000/mo</t>
        </is>
      </c>
      <c r="B20" s="229" t="n">
        <v>0.37</v>
      </c>
      <c r="C20" s="160" t="n"/>
      <c r="D20" s="160" t="n"/>
      <c r="E20" s="160" t="n"/>
      <c r="F20" s="160" t="n"/>
      <c r="G20" s="160" t="inlineStr">
        <is>
          <t>37% would buy at this price. ~100 hotels.</t>
        </is>
      </c>
    </row>
    <row r="21" ht="15" customHeight="1" s="125">
      <c r="A21" s="157" t="inlineStr">
        <is>
          <t>CHF 5,000/mo</t>
        </is>
      </c>
      <c r="B21" s="220" t="n">
        <v>0.15</v>
      </c>
      <c r="C21" s="157" t="n"/>
      <c r="D21" s="157" t="n"/>
      <c r="E21" s="157" t="n"/>
      <c r="F21" s="157" t="n"/>
      <c r="G21" s="157" t="inlineStr">
        <is>
          <t>15% would buy. ~40 hotels. Premium segment.</t>
        </is>
      </c>
    </row>
    <row r="22" ht="15" customHeight="1" s="125">
      <c r="A22" s="214" t="inlineStr">
        <is>
          <t>12-month delay risk</t>
        </is>
      </c>
      <c r="B22" s="219" t="n">
        <v>0.67</v>
      </c>
      <c r="C22" s="214" t="n"/>
      <c r="D22" s="214" t="n"/>
      <c r="E22" s="214" t="n"/>
      <c r="F22" s="214" t="n"/>
      <c r="G22" s="214" t="inlineStr">
        <is>
          <t>67% delay. Sales cycle validation.</t>
        </is>
      </c>
    </row>
    <row r="24" ht="15" customHeight="1" s="125">
      <c r="A24" s="163" t="inlineStr">
        <is>
          <t>SEGMENT ANALYSIS</t>
        </is>
      </c>
      <c r="B24" s="164" t="n"/>
      <c r="C24" s="164" t="n"/>
      <c r="D24" s="164" t="n"/>
      <c r="E24" s="164" t="n"/>
      <c r="F24" s="164" t="n"/>
      <c r="G24" s="164" t="n"/>
    </row>
    <row r="25" ht="15" customHeight="1" s="125">
      <c r="A25" s="212" t="inlineStr">
        <is>
          <t>Segment</t>
        </is>
      </c>
      <c r="B25" s="218" t="inlineStr">
        <is>
          <t>Hotels</t>
        </is>
      </c>
      <c r="C25" s="218" t="inlineStr">
        <is>
          <t>Buy@3k</t>
        </is>
      </c>
      <c r="D25" s="218" t="inlineStr">
        <is>
          <t>Priority Score</t>
        </is>
      </c>
      <c r="E25" s="218" t="n"/>
      <c r="F25" s="218" t="n"/>
      <c r="G25" s="218" t="inlineStr">
        <is>
          <t>Notes</t>
        </is>
      </c>
    </row>
    <row r="26" ht="15" customHeight="1" s="125">
      <c r="A26" s="214" t="inlineStr">
        <is>
          <t>Business &amp; conference</t>
        </is>
      </c>
      <c r="B26" s="216" t="n">
        <v>6</v>
      </c>
      <c r="C26" s="219" t="n">
        <v>0.4</v>
      </c>
      <c r="D26" s="216" t="n">
        <v>45</v>
      </c>
      <c r="E26" s="214" t="n"/>
      <c r="F26" s="214" t="n"/>
      <c r="G26" s="214" t="inlineStr">
        <is>
          <t>Highest buy rate. Decision-maker accessible.</t>
        </is>
      </c>
    </row>
    <row r="27" ht="15" customHeight="1" s="125">
      <c r="A27" s="157" t="inlineStr">
        <is>
          <t>Luxury</t>
        </is>
      </c>
      <c r="B27" s="215" t="n">
        <v>97</v>
      </c>
      <c r="C27" s="220" t="n">
        <v>0.4</v>
      </c>
      <c r="D27" s="215" t="n">
        <v>43</v>
      </c>
      <c r="E27" s="157" t="n"/>
      <c r="F27" s="157" t="n"/>
      <c r="G27" s="157" t="inlineStr">
        <is>
          <t>Sweet spot: high ADR, complex needs, budget exists.</t>
        </is>
      </c>
    </row>
    <row r="28" ht="15" customHeight="1" s="125">
      <c r="A28" s="214" t="inlineStr">
        <is>
          <t>Upper upscale</t>
        </is>
      </c>
      <c r="B28" s="216" t="n">
        <v>164</v>
      </c>
      <c r="C28" s="219" t="n">
        <v>0.35</v>
      </c>
      <c r="D28" s="216" t="n">
        <v>39</v>
      </c>
      <c r="E28" s="214" t="n"/>
      <c r="F28" s="214" t="n"/>
      <c r="G28" s="214" t="inlineStr">
        <is>
          <t>Volume segment. More price-sensitive.</t>
        </is>
      </c>
    </row>
    <row r="29" ht="15" customHeight="1" s="125">
      <c r="A29" s="157" t="inlineStr">
        <is>
          <t>Serviced apartments</t>
        </is>
      </c>
      <c r="B29" s="215" t="n">
        <v>2</v>
      </c>
      <c r="C29" s="220" t="n">
        <v>0.34</v>
      </c>
      <c r="D29" s="215" t="n">
        <v>33</v>
      </c>
      <c r="E29" s="157" t="n"/>
      <c r="F29" s="157" t="n"/>
      <c r="G29" s="157" t="inlineStr">
        <is>
          <t>Niche. Low priority.</t>
        </is>
      </c>
    </row>
    <row r="30" ht="15" customHeight="1" s="125">
      <c r="A30" s="214" t="inlineStr">
        <is>
          <t>Upscale</t>
        </is>
      </c>
      <c r="B30" s="216" t="n">
        <v>3</v>
      </c>
      <c r="C30" s="219" t="n">
        <v>0.32</v>
      </c>
      <c r="D30" s="216" t="n">
        <v>32</v>
      </c>
      <c r="E30" s="214" t="n"/>
      <c r="F30" s="214" t="n"/>
      <c r="G30" s="214" t="inlineStr">
        <is>
          <t>Small sample. Not primary target.</t>
        </is>
      </c>
    </row>
    <row r="32" ht="15" customHeight="1" s="125">
      <c r="A32" s="163" t="inlineStr">
        <is>
          <t>PROOF PACKAGE REQUIREMENTS (ranked by score)</t>
        </is>
      </c>
      <c r="B32" s="164" t="n"/>
      <c r="C32" s="164" t="n"/>
      <c r="D32" s="164" t="n"/>
      <c r="E32" s="164" t="n"/>
      <c r="F32" s="164" t="n"/>
      <c r="G32" s="164" t="n"/>
    </row>
    <row r="33" ht="15" customHeight="1" s="125">
      <c r="A33" s="212" t="inlineStr">
        <is>
          <t>Requirement</t>
        </is>
      </c>
      <c r="B33" s="218" t="inlineStr">
        <is>
          <t>Score</t>
        </is>
      </c>
      <c r="C33" s="218" t="inlineStr">
        <is>
          <t>Frequency</t>
        </is>
      </c>
      <c r="D33" s="218" t="inlineStr">
        <is>
          <t>Status</t>
        </is>
      </c>
      <c r="E33" s="218" t="n"/>
      <c r="F33" s="218" t="n"/>
      <c r="G33" s="218" t="inlineStr">
        <is>
          <t>Build Priority</t>
        </is>
      </c>
    </row>
    <row r="34" ht="15" customHeight="1" s="125">
      <c r="A34" s="214" t="inlineStr">
        <is>
          <t>PMS/CRM integration</t>
        </is>
      </c>
      <c r="B34" s="216" t="n">
        <v>1089</v>
      </c>
      <c r="C34" s="214" t="inlineStr">
        <is>
          <t>79% of hotels</t>
        </is>
      </c>
      <c r="D34" s="230" t="inlineStr">
        <is>
          <t>MUST HAVE</t>
        </is>
      </c>
      <c r="E34" s="214" t="n"/>
      <c r="F34" s="214" t="n"/>
      <c r="G34" s="214" t="inlineStr">
        <is>
          <t>Month 1-3: Top priority</t>
        </is>
      </c>
    </row>
    <row r="35" ht="15" customHeight="1" s="125">
      <c r="A35" s="157" t="inlineStr">
        <is>
          <t>Swiss reference customers</t>
        </is>
      </c>
      <c r="B35" s="215" t="n">
        <v>752</v>
      </c>
      <c r="C35" s="157" t="inlineStr">
        <is>
          <t>65% of hotels</t>
        </is>
      </c>
      <c r="D35" s="230" t="inlineStr">
        <is>
          <t>MUST HAVE</t>
        </is>
      </c>
      <c r="E35" s="157" t="n"/>
      <c r="F35" s="157" t="n"/>
      <c r="G35" s="157" t="inlineStr">
        <is>
          <t>Month 4-6: First 3-5 case studies</t>
        </is>
      </c>
    </row>
    <row r="36" ht="15" customHeight="1" s="125">
      <c r="A36" s="214" t="inlineStr">
        <is>
          <t>60-day pilot option</t>
        </is>
      </c>
      <c r="B36" s="216" t="n">
        <v>642</v>
      </c>
      <c r="C36" s="214" t="inlineStr">
        <is>
          <t>55% of hotels</t>
        </is>
      </c>
      <c r="D36" s="226" t="inlineStr">
        <is>
          <t>READY</t>
        </is>
      </c>
      <c r="E36" s="214" t="n"/>
      <c r="F36" s="214" t="n"/>
      <c r="G36" s="214" t="inlineStr">
        <is>
          <t>PoV structure already designed</t>
        </is>
      </c>
    </row>
    <row r="37" ht="15" customHeight="1" s="125">
      <c r="A37" s="157" t="inlineStr">
        <is>
          <t>GDPR/Swiss data hosting</t>
        </is>
      </c>
      <c r="B37" s="215" t="n">
        <v>636</v>
      </c>
      <c r="C37" s="157" t="inlineStr">
        <is>
          <t>54% of hotels</t>
        </is>
      </c>
      <c r="D37" s="230" t="inlineStr">
        <is>
          <t>MUST HAVE</t>
        </is>
      </c>
      <c r="E37" s="157" t="n"/>
      <c r="F37" s="157" t="n"/>
      <c r="G37" s="157" t="inlineStr">
        <is>
          <t>Month 1: Swiss infra setup</t>
        </is>
      </c>
    </row>
    <row r="38" ht="15" customHeight="1" s="125">
      <c r="A38" s="214" t="inlineStr">
        <is>
          <t>90-day pilot option</t>
        </is>
      </c>
      <c r="B38" s="216" t="n">
        <v>351</v>
      </c>
      <c r="C38" s="214" t="inlineStr">
        <is>
          <t>30% of hotels</t>
        </is>
      </c>
      <c r="D38" s="226" t="inlineStr">
        <is>
          <t>READY</t>
        </is>
      </c>
      <c r="E38" s="214" t="n"/>
      <c r="F38" s="214" t="n"/>
      <c r="G38" s="214" t="inlineStr">
        <is>
          <t>Extended PoV for larger hotels</t>
        </is>
      </c>
    </row>
    <row r="40" ht="15" customHeight="1" s="125">
      <c r="A40" s="163" t="inlineStr">
        <is>
          <t>DEAL KILLERS (ranked)</t>
        </is>
      </c>
      <c r="B40" s="164" t="n"/>
      <c r="C40" s="164" t="n"/>
      <c r="D40" s="164" t="n"/>
      <c r="E40" s="164" t="n"/>
      <c r="F40" s="164" t="n"/>
      <c r="G40" s="164" t="n"/>
    </row>
    <row r="41" ht="15" customHeight="1" s="125">
      <c r="A41" s="212" t="inlineStr">
        <is>
          <t>Deal Killer</t>
        </is>
      </c>
      <c r="B41" s="218" t="inlineStr">
        <is>
          <t>Hotels</t>
        </is>
      </c>
      <c r="C41" s="218" t="inlineStr">
        <is>
          <t>% of Cohort</t>
        </is>
      </c>
      <c r="D41" s="218" t="inlineStr">
        <is>
          <t>Mitigation</t>
        </is>
      </c>
      <c r="E41" s="218" t="n"/>
      <c r="F41" s="218" t="n"/>
      <c r="G41" s="218" t="n"/>
    </row>
    <row r="42" ht="15" customHeight="1" s="125">
      <c r="A42" s="230" t="inlineStr">
        <is>
          <t>No PMS/CRM integration</t>
        </is>
      </c>
      <c r="B42" s="216" t="n">
        <v>215</v>
      </c>
      <c r="C42" s="219" t="n">
        <v>0.79</v>
      </c>
      <c r="D42" s="214" t="inlineStr">
        <is>
          <t>Build PMS connectors month 1-3. Opera, Protel, Mews priority.</t>
        </is>
      </c>
      <c r="E42" s="214" t="n"/>
      <c r="F42" s="214" t="n"/>
      <c r="G42" s="214" t="n"/>
    </row>
    <row r="43" ht="15" customHeight="1" s="125">
      <c r="A43" s="230" t="inlineStr">
        <is>
          <t>Cannot prove attribution / ROI</t>
        </is>
      </c>
      <c r="B43" s="215" t="n">
        <v>42</v>
      </c>
      <c r="C43" s="220" t="n">
        <v>0.15</v>
      </c>
      <c r="D43" s="157" t="inlineStr">
        <is>
          <t>Attribution framework in PoV. Baseline + holdout design.</t>
        </is>
      </c>
      <c r="E43" s="157" t="n"/>
      <c r="F43" s="157" t="n"/>
      <c r="G43" s="157" t="n"/>
    </row>
    <row r="44" ht="15" customHeight="1" s="125">
      <c r="A44" s="231" t="inlineStr">
        <is>
          <t>No GDPR / Swiss data hosting</t>
        </is>
      </c>
      <c r="B44" s="216" t="n">
        <v>5</v>
      </c>
      <c r="C44" s="219" t="n">
        <v>0.02</v>
      </c>
      <c r="D44" s="214" t="inlineStr">
        <is>
          <t>Swiss hosting from day 1. DPA template ready.</t>
        </is>
      </c>
      <c r="E44" s="214" t="n"/>
      <c r="F44" s="214" t="n"/>
      <c r="G44" s="214" t="n"/>
    </row>
    <row r="45" ht="15" customHeight="1" s="125">
      <c r="A45" s="231" t="inlineStr">
        <is>
          <t>No Swiss reference customers</t>
        </is>
      </c>
      <c r="B45" s="215" t="n">
        <v>5</v>
      </c>
      <c r="C45" s="220" t="n">
        <v>0.02</v>
      </c>
      <c r="D45" s="157" t="inlineStr">
        <is>
          <t>First 3-5 customers become reference base.</t>
        </is>
      </c>
      <c r="E45" s="157" t="n"/>
      <c r="F45" s="157" t="n"/>
      <c r="G45" s="157" t="n"/>
    </row>
    <row r="47" ht="15" customHeight="1" s="125">
      <c r="A47" s="163" t="inlineStr">
        <is>
          <t>TOP 10 PRIORITY TARGETS</t>
        </is>
      </c>
      <c r="B47" s="164" t="n"/>
      <c r="C47" s="164" t="n"/>
      <c r="D47" s="164" t="n"/>
      <c r="E47" s="164" t="n"/>
      <c r="F47" s="164" t="n"/>
      <c r="G47" s="164" t="n"/>
    </row>
    <row r="48" ht="15" customHeight="1" s="125">
      <c r="A48" s="212" t="inlineStr">
        <is>
          <t>Hotel</t>
        </is>
      </c>
      <c r="B48" s="218" t="inlineStr">
        <is>
          <t>Location</t>
        </is>
      </c>
      <c r="C48" s="218" t="inlineStr">
        <is>
          <t>Stars</t>
        </is>
      </c>
      <c r="D48" s="218" t="inlineStr">
        <is>
          <t>Rooms</t>
        </is>
      </c>
      <c r="E48" s="218" t="inlineStr">
        <is>
          <t>ADR (CHF)</t>
        </is>
      </c>
      <c r="F48" s="218" t="inlineStr">
        <is>
          <t>Priority</t>
        </is>
      </c>
      <c r="G48" s="218" t="inlineStr">
        <is>
          <t>Buy@3k</t>
        </is>
      </c>
    </row>
    <row r="49" ht="15" customHeight="1" s="125">
      <c r="A49" s="214" t="inlineStr">
        <is>
          <t>Hotel Schweizerhof Zürich</t>
        </is>
      </c>
      <c r="B49" s="214" t="inlineStr">
        <is>
          <t>Zürich</t>
        </is>
      </c>
      <c r="C49" s="216" t="n">
        <v>5</v>
      </c>
      <c r="D49" s="216" t="n">
        <v>95</v>
      </c>
      <c r="E49" s="216" t="n">
        <v>784</v>
      </c>
      <c r="F49" s="216" t="n">
        <v>51</v>
      </c>
      <c r="G49" s="219" t="n">
        <v>0.51</v>
      </c>
    </row>
    <row r="50" ht="15" customHeight="1" s="125">
      <c r="A50" s="157" t="inlineStr">
        <is>
          <t>Hotel Suvretta House</t>
        </is>
      </c>
      <c r="B50" s="157" t="inlineStr">
        <is>
          <t>St. Moritz</t>
        </is>
      </c>
      <c r="C50" s="215" t="n">
        <v>5</v>
      </c>
      <c r="D50" s="215" t="n">
        <v>176</v>
      </c>
      <c r="E50" s="215" t="n">
        <v>780</v>
      </c>
      <c r="F50" s="215" t="n">
        <v>51</v>
      </c>
      <c r="G50" s="220" t="n">
        <v>0.5</v>
      </c>
    </row>
    <row r="51" ht="15" customHeight="1" s="125">
      <c r="A51" s="214" t="inlineStr">
        <is>
          <t>Victoria-Jungfrau Grand Hotel &amp; Spa</t>
        </is>
      </c>
      <c r="B51" s="214" t="inlineStr">
        <is>
          <t>Interlaken</t>
        </is>
      </c>
      <c r="C51" s="216" t="n">
        <v>5</v>
      </c>
      <c r="D51" s="216" t="n">
        <v>216</v>
      </c>
      <c r="E51" s="216" t="n">
        <v>725</v>
      </c>
      <c r="F51" s="216" t="n">
        <v>51</v>
      </c>
      <c r="G51" s="219" t="n">
        <v>0.48</v>
      </c>
    </row>
    <row r="52" ht="15" customHeight="1" s="125">
      <c r="A52" s="157" t="inlineStr">
        <is>
          <t>Hotel Bellevue Palace</t>
        </is>
      </c>
      <c r="B52" s="157" t="inlineStr">
        <is>
          <t>Bern</t>
        </is>
      </c>
      <c r="C52" s="215" t="n">
        <v>5</v>
      </c>
      <c r="D52" s="215" t="n">
        <v>126</v>
      </c>
      <c r="E52" s="215" t="n">
        <v>434</v>
      </c>
      <c r="F52" s="215" t="n">
        <v>50</v>
      </c>
      <c r="G52" s="220" t="n">
        <v>0.46</v>
      </c>
    </row>
    <row r="53" ht="15" customHeight="1" s="125">
      <c r="A53" s="214" t="inlineStr">
        <is>
          <t>Hotel Schweizerhof Bern &amp; Spa</t>
        </is>
      </c>
      <c r="B53" s="214" t="inlineStr">
        <is>
          <t>Bern</t>
        </is>
      </c>
      <c r="C53" s="216" t="n">
        <v>5</v>
      </c>
      <c r="D53" s="216" t="n">
        <v>99</v>
      </c>
      <c r="E53" s="216" t="n">
        <v>434</v>
      </c>
      <c r="F53" s="216" t="n">
        <v>50</v>
      </c>
      <c r="G53" s="219" t="n">
        <v>0.47</v>
      </c>
    </row>
    <row r="54" ht="15" customHeight="1" s="125">
      <c r="A54" s="157" t="inlineStr">
        <is>
          <t>AlpenGold Davos</t>
        </is>
      </c>
      <c r="B54" s="157" t="inlineStr">
        <is>
          <t>Davos Dorf</t>
        </is>
      </c>
      <c r="C54" s="215" t="n">
        <v>5</v>
      </c>
      <c r="D54" s="215" t="n">
        <v>216</v>
      </c>
      <c r="E54" s="215" t="n">
        <v>348</v>
      </c>
      <c r="F54" s="215" t="n">
        <v>49</v>
      </c>
      <c r="G54" s="220" t="n">
        <v>0.47</v>
      </c>
    </row>
    <row r="55" ht="15" customHeight="1" s="125">
      <c r="A55" s="214" t="inlineStr">
        <is>
          <t>Beau-Rivage Palace</t>
        </is>
      </c>
      <c r="B55" s="214" t="inlineStr">
        <is>
          <t>Lausanne</t>
        </is>
      </c>
      <c r="C55" s="216" t="n">
        <v>5</v>
      </c>
      <c r="D55" s="216" t="n">
        <v>168</v>
      </c>
      <c r="E55" s="216" t="n">
        <v>661</v>
      </c>
      <c r="F55" s="216" t="n">
        <v>49</v>
      </c>
      <c r="G55" s="219" t="n">
        <v>0.48</v>
      </c>
    </row>
    <row r="56" ht="15" customHeight="1" s="125">
      <c r="A56" s="157" t="inlineStr">
        <is>
          <t>Grand Hotel Les Trois Rois</t>
        </is>
      </c>
      <c r="B56" s="157" t="inlineStr">
        <is>
          <t>Basel</t>
        </is>
      </c>
      <c r="C56" s="215" t="n">
        <v>5</v>
      </c>
      <c r="D56" s="215" t="n">
        <v>82</v>
      </c>
      <c r="E56" s="215" t="n">
        <v>510</v>
      </c>
      <c r="F56" s="215" t="n">
        <v>49</v>
      </c>
      <c r="G56" s="220" t="n">
        <v>0.48</v>
      </c>
    </row>
    <row r="57" ht="15" customHeight="1" s="125">
      <c r="A57" s="214" t="inlineStr">
        <is>
          <t>Hôtel Métropole Genève</t>
        </is>
      </c>
      <c r="B57" s="214" t="inlineStr">
        <is>
          <t>Genève</t>
        </is>
      </c>
      <c r="C57" s="216" t="n">
        <v>5</v>
      </c>
      <c r="D57" s="216" t="n">
        <v>102</v>
      </c>
      <c r="E57" s="216" t="n">
        <v>621</v>
      </c>
      <c r="F57" s="216" t="n">
        <v>49</v>
      </c>
      <c r="G57" s="219" t="n">
        <v>0.47</v>
      </c>
    </row>
    <row r="58" ht="15" customHeight="1" s="125">
      <c r="A58" s="157" t="inlineStr">
        <is>
          <t>Hotel Schweizerhof Luzern</t>
        </is>
      </c>
      <c r="B58" s="157" t="inlineStr">
        <is>
          <t>Luzern</t>
        </is>
      </c>
      <c r="C58" s="215" t="n">
        <v>5</v>
      </c>
      <c r="D58" s="215" t="n">
        <v>101</v>
      </c>
      <c r="E58" s="215" t="n">
        <v>388</v>
      </c>
      <c r="F58" s="215" t="n">
        <v>49</v>
      </c>
      <c r="G58" s="220" t="n">
        <v>0.45</v>
      </c>
    </row>
    <row r="60" ht="15" customHeight="1" s="125">
      <c r="A60" s="163" t="inlineStr">
        <is>
          <t>BUSINESS PLAN ALIGNMENT</t>
        </is>
      </c>
      <c r="B60" s="164" t="n"/>
      <c r="C60" s="164" t="n"/>
      <c r="D60" s="164" t="n"/>
      <c r="E60" s="164" t="n"/>
      <c r="F60" s="164" t="n"/>
      <c r="G60" s="164" t="n"/>
    </row>
    <row r="61" ht="15" customHeight="1" s="125">
      <c r="A61" s="211" t="inlineStr">
        <is>
          <t>PRICING: Business plan assumes EUR 2,500/mo average. Survey says land at CHF 1,500-2,000, expand to 3,000.</t>
        </is>
      </c>
    </row>
    <row r="62" ht="15" customHeight="1" s="125">
      <c r="A62" s="211" t="inlineStr">
        <is>
          <t>SALES CYCLE: 67% delay risk validates 6-12 month ramp to 15-21 hotels. Plan is conservative.</t>
        </is>
      </c>
    </row>
    <row r="63" ht="15" customHeight="1" s="125">
      <c r="A63" s="211" t="inlineStr">
        <is>
          <t>TAM: 37% buy@3k × 272 = ~100 hotels in CH alone. Plan targets 100 at Stage C. Validated.</t>
        </is>
      </c>
    </row>
    <row r="64" ht="15" customHeight="1" s="125">
      <c r="A64" s="211" t="inlineStr">
        <is>
          <t>ACQUISITION: Network intros (Amedeo/Corsaro) are the wedge. 67% conversion on warm intros.</t>
        </is>
      </c>
    </row>
    <row r="65" ht="15" customHeight="1" s="125">
      <c r="A65" s="211" t="inlineStr">
        <is>
          <t>BUILD PRIORITY: PMS integration is #1 proof requirement AND #1 deal killer. Build first.</t>
        </is>
      </c>
    </row>
    <row r="67" ht="15" customHeight="1" s="125">
      <c r="A67" s="163" t="inlineStr">
        <is>
          <t>METHODOLOGY &amp; CAVEATS</t>
        </is>
      </c>
      <c r="B67" s="164" t="n"/>
      <c r="C67" s="164" t="n"/>
      <c r="D67" s="164" t="n"/>
      <c r="E67" s="164" t="n"/>
      <c r="F67" s="164" t="n"/>
      <c r="G67" s="164" t="n"/>
    </row>
    <row r="68" ht="15" customHeight="1" s="125">
      <c r="A68" s="211" t="inlineStr">
        <is>
          <t>Synthetic buyer survey using AI-simulated hotel buyer personas. Hypothesis-grade, not ground truth.</t>
        </is>
      </c>
    </row>
    <row r="69" ht="15" customHeight="1" s="125">
      <c r="A69" s="211" t="inlineStr">
        <is>
          <t>Pipeline: real hotel dossiers → 3 interview replications per role → adversarial critique → judge normalization.</t>
        </is>
      </c>
    </row>
    <row r="70" ht="15" customHeight="1" s="125">
      <c r="A70" s="211" t="inlineStr">
        <is>
          <t>Models: gpt-5-mini (interview + adversarial), gpt-5 (judge). Conservative bias applied in merging.</t>
        </is>
      </c>
    </row>
    <row r="71" ht="15" customHeight="1" s="125">
      <c r="A71" s="211" t="inlineStr">
        <is>
          <t>99% of judge passes returned "medium" confidence = the system knows it is simulating, not knowing.</t>
        </is>
      </c>
    </row>
    <row r="72" ht="15" customHeight="1" s="125">
      <c r="A72" s="211" t="inlineStr">
        <is>
          <t>VALIDATE: Top 10 findings with 5-10 real hotel conversations before scaling outreach.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124" min="1" max="1"/>
    <col width="14" customWidth="1" style="124" min="2" max="2"/>
    <col width="18" customWidth="1" style="124" min="3" max="4"/>
    <col width="16" customWidth="1" style="124" min="5" max="5"/>
    <col width="3" customWidth="1" style="124" min="6" max="6"/>
    <col width="45" customWidth="1" style="124" min="7" max="7"/>
  </cols>
  <sheetData>
    <row r="1" ht="17.25" customHeight="1" s="125">
      <c r="A1" s="232" t="inlineStr">
        <is>
          <t>Sensitivity Analysis — Exploratory v4 Bootstrap Path</t>
        </is>
      </c>
    </row>
    <row r="2" ht="15" customHeight="1" s="125">
      <c r="A2" s="233" t="inlineStr">
        <is>
          <t>Source: Monte Carlo v4, Path A (Bootstrap), 10,000 simulations. Separate from Scenario A conservative MC; base ARR at M60 = EUR 31.54M</t>
        </is>
      </c>
    </row>
    <row r="4" ht="27.75" customHeight="1" s="125">
      <c r="A4" s="234" t="inlineStr">
        <is>
          <t>Variable</t>
        </is>
      </c>
      <c r="B4" s="234" t="inlineStr">
        <is>
          <t>Direction</t>
        </is>
      </c>
      <c r="C4" s="234" t="inlineStr">
        <is>
          <t>ARR at M60 (EUR)</t>
        </is>
      </c>
      <c r="D4" s="234" t="inlineStr">
        <is>
          <t>Delta (EUR)</t>
        </is>
      </c>
      <c r="E4" s="234" t="inlineStr">
        <is>
          <t>Delta (%)</t>
        </is>
      </c>
    </row>
    <row r="5" ht="15" customHeight="1" s="125">
      <c r="A5" s="166" t="inlineStr">
        <is>
          <t>Monthly churn</t>
        </is>
      </c>
      <c r="B5" s="166" t="inlineStr">
        <is>
          <t>optimistic</t>
        </is>
      </c>
      <c r="C5" s="235" t="n">
        <v>35676380</v>
      </c>
      <c r="D5" s="236" t="n">
        <v>4138544</v>
      </c>
      <c r="E5" s="237">
        <f>D5/31537836</f>
        <v/>
      </c>
    </row>
    <row r="6" ht="15" customHeight="1" s="125">
      <c r="A6" s="169" t="inlineStr">
        <is>
          <t>Monthly churn</t>
        </is>
      </c>
      <c r="B6" s="169" t="inlineStr">
        <is>
          <t>pessimistic</t>
        </is>
      </c>
      <c r="C6" s="238" t="n">
        <v>25413329</v>
      </c>
      <c r="D6" s="239" t="n">
        <v>-6124507</v>
      </c>
      <c r="E6" s="240">
        <f>D6/31537836</f>
        <v/>
      </c>
    </row>
    <row r="7" ht="15" customHeight="1" s="125">
      <c r="A7" s="166" t="inlineStr">
        <is>
          <t>Conversion rate</t>
        </is>
      </c>
      <c r="B7" s="166" t="inlineStr">
        <is>
          <t>optimistic</t>
        </is>
      </c>
      <c r="C7" s="235" t="n">
        <v>36116655</v>
      </c>
      <c r="D7" s="241" t="n">
        <v>4578819</v>
      </c>
      <c r="E7" s="242">
        <f>D7/31537836</f>
        <v/>
      </c>
    </row>
    <row r="8" ht="15" customHeight="1" s="125">
      <c r="A8" s="169" t="inlineStr">
        <is>
          <t>Conversion rate</t>
        </is>
      </c>
      <c r="B8" s="169" t="inlineStr">
        <is>
          <t>pessimistic</t>
        </is>
      </c>
      <c r="C8" s="238" t="n">
        <v>26200019</v>
      </c>
      <c r="D8" s="243" t="n">
        <v>-5337817</v>
      </c>
      <c r="E8" s="244">
        <f>D8/31537836</f>
        <v/>
      </c>
    </row>
    <row r="9" ht="15" customHeight="1" s="125">
      <c r="A9" s="166" t="inlineStr">
        <is>
          <t>ACV median</t>
        </is>
      </c>
      <c r="B9" s="166" t="inlineStr">
        <is>
          <t>optimistic</t>
        </is>
      </c>
      <c r="C9" s="235" t="n">
        <v>35772697</v>
      </c>
      <c r="D9" s="241" t="n">
        <v>4234861</v>
      </c>
      <c r="E9" s="242">
        <f>D9/31537836</f>
        <v/>
      </c>
    </row>
    <row r="10" ht="15" customHeight="1" s="125">
      <c r="A10" s="169" t="inlineStr">
        <is>
          <t>ACV median</t>
        </is>
      </c>
      <c r="B10" s="169" t="inlineStr">
        <is>
          <t>pessimistic</t>
        </is>
      </c>
      <c r="C10" s="238" t="n">
        <v>27034096</v>
      </c>
      <c r="D10" s="243" t="n">
        <v>-4503740</v>
      </c>
      <c r="E10" s="244">
        <f>D10/31537836</f>
        <v/>
      </c>
    </row>
    <row r="11" ht="15" customHeight="1" s="125">
      <c r="A11" s="166" t="inlineStr">
        <is>
          <t>Expansion rate</t>
        </is>
      </c>
      <c r="B11" s="166" t="inlineStr">
        <is>
          <t>optimistic</t>
        </is>
      </c>
      <c r="C11" s="235" t="n">
        <v>32043918</v>
      </c>
      <c r="D11" s="241" t="n">
        <v>506082</v>
      </c>
      <c r="E11" s="242">
        <f>D11/31537836</f>
        <v/>
      </c>
    </row>
    <row r="12" ht="15" customHeight="1" s="125">
      <c r="A12" s="169" t="inlineStr">
        <is>
          <t>Expansion rate</t>
        </is>
      </c>
      <c r="B12" s="169" t="inlineStr">
        <is>
          <t>pessimistic</t>
        </is>
      </c>
      <c r="C12" s="238" t="n">
        <v>30826179</v>
      </c>
      <c r="D12" s="243" t="n">
        <v>-711657</v>
      </c>
      <c r="E12" s="244">
        <f>D12/31537836</f>
        <v/>
      </c>
    </row>
    <row r="13" ht="15" customHeight="1" s="125">
      <c r="A13" s="166" t="inlineStr">
        <is>
          <t>Acquisition rate</t>
        </is>
      </c>
      <c r="B13" s="166" t="inlineStr">
        <is>
          <t>optimistic</t>
        </is>
      </c>
      <c r="C13" s="235" t="n">
        <v>31650434</v>
      </c>
      <c r="D13" s="241" t="n">
        <v>112598</v>
      </c>
      <c r="E13" s="242">
        <f>D13/31537836</f>
        <v/>
      </c>
    </row>
    <row r="14" ht="15" customHeight="1" s="125">
      <c r="A14" s="169" t="inlineStr">
        <is>
          <t>Acquisition rate</t>
        </is>
      </c>
      <c r="B14" s="169" t="inlineStr">
        <is>
          <t>pessimistic</t>
        </is>
      </c>
      <c r="C14" s="238" t="n">
        <v>31568844</v>
      </c>
      <c r="D14" s="239" t="n">
        <v>31009</v>
      </c>
      <c r="E14" s="240">
        <f>D14/31537836</f>
        <v/>
      </c>
    </row>
    <row r="15" ht="15" customHeight="1" s="125">
      <c r="A15" s="166" t="inlineStr">
        <is>
          <t>Cost overrun</t>
        </is>
      </c>
      <c r="B15" s="166" t="inlineStr">
        <is>
          <t>optimistic</t>
        </is>
      </c>
      <c r="C15" s="235" t="n">
        <v>31537836</v>
      </c>
      <c r="D15" s="236" t="n">
        <v>0</v>
      </c>
      <c r="E15" s="237">
        <f>D15/31537836</f>
        <v/>
      </c>
    </row>
    <row r="16" ht="15" customHeight="1" s="125">
      <c r="A16" s="169" t="inlineStr">
        <is>
          <t>Cost overrun</t>
        </is>
      </c>
      <c r="B16" s="169" t="inlineStr">
        <is>
          <t>pessimistic</t>
        </is>
      </c>
      <c r="C16" s="238" t="n">
        <v>31537836</v>
      </c>
      <c r="D16" s="243" t="n">
        <v>0</v>
      </c>
      <c r="E16" s="244">
        <f>D16/31537836</f>
        <v/>
      </c>
    </row>
    <row r="18" ht="15" customHeight="1" s="125">
      <c r="A18" s="163" t="inlineStr">
        <is>
          <t>Key Insights</t>
        </is>
      </c>
      <c r="B18" s="164" t="n"/>
      <c r="C18" s="164" t="n"/>
      <c r="D18" s="164" t="n"/>
      <c r="E18" s="164" t="n"/>
      <c r="F18" s="164" t="n"/>
      <c r="G18" s="164" t="n"/>
    </row>
    <row r="19" ht="15" customHeight="1" s="125">
      <c r="A19" s="234" t="inlineStr">
        <is>
          <t>Factor</t>
        </is>
      </c>
      <c r="B19" s="234" t="inlineStr">
        <is>
          <t>Impact</t>
        </is>
      </c>
      <c r="C19" s="234" t="inlineStr">
        <is>
          <t>Interpretation</t>
        </is>
      </c>
    </row>
    <row r="20" ht="15" customHeight="1" s="125">
      <c r="A20" s="174" t="inlineStr">
        <is>
          <t>Biggest upside lever</t>
        </is>
      </c>
      <c r="B20" s="166" t="inlineStr">
        <is>
          <t>Conversion rate (+14.5%)</t>
        </is>
      </c>
      <c r="C20" s="166" t="inlineStr">
        <is>
          <t>Improving demo→PoV→full pipeline adds EUR 4.6M to M60 ARR</t>
        </is>
      </c>
    </row>
    <row r="21" ht="15" customHeight="1" s="125">
      <c r="A21" s="175" t="inlineStr">
        <is>
          <t>Biggest downside risk</t>
        </is>
      </c>
      <c r="B21" s="169" t="inlineStr">
        <is>
          <t>Monthly churn (-19.4%)</t>
        </is>
      </c>
      <c r="C21" s="169" t="inlineStr">
        <is>
          <t>Higher-than-expected churn destroys compounding — EUR 6.1M downside</t>
        </is>
      </c>
    </row>
    <row r="22" ht="15" customHeight="1" s="125">
      <c r="A22" s="174" t="inlineStr">
        <is>
          <t>ACV sensitivity</t>
        </is>
      </c>
      <c r="B22" s="166" t="inlineStr">
        <is>
          <t>Symmetric (~±14%)</t>
        </is>
      </c>
      <c r="C22" s="166" t="inlineStr">
        <is>
          <t>Validates pricing is a core lever — CHF 3K+ ACV matters</t>
        </is>
      </c>
    </row>
    <row r="23" ht="15" customHeight="1" s="125">
      <c r="A23" s="175" t="inlineStr">
        <is>
          <t>Expansion rate</t>
        </is>
      </c>
      <c r="B23" s="169" t="inlineStr">
        <is>
          <t>Moderate (±2%)</t>
        </is>
      </c>
      <c r="C23" s="169" t="inlineStr">
        <is>
          <t>Upsell/cross-sell is nice-to-have, not make-or-break</t>
        </is>
      </c>
    </row>
    <row r="24" ht="15" customHeight="1" s="125">
      <c r="A24" s="174" t="inlineStr">
        <is>
          <t>Acquisition rate</t>
        </is>
      </c>
      <c r="B24" s="166" t="inlineStr">
        <is>
          <t>Minimal (&lt;1%)</t>
        </is>
      </c>
      <c r="C24" s="166" t="inlineStr">
        <is>
          <t>Network-driven model is rate-limited by conversion, not top-of-funnel</t>
        </is>
      </c>
    </row>
    <row r="25" ht="15" customHeight="1" s="125">
      <c r="A25" s="175" t="inlineStr">
        <is>
          <t>Cost overrun</t>
        </is>
      </c>
      <c r="B25" s="169" t="inlineStr">
        <is>
          <t>No ARR impact</t>
        </is>
      </c>
      <c r="C25" s="169" t="inlineStr">
        <is>
          <t>Costs affect runway/profitability, not revenue trajectory</t>
        </is>
      </c>
    </row>
    <row r="27" ht="15" customHeight="1" s="125">
      <c r="A27" s="163" t="inlineStr">
        <is>
          <t>Implications for Business Plan</t>
        </is>
      </c>
      <c r="B27" s="164" t="n"/>
      <c r="C27" s="164" t="n"/>
      <c r="D27" s="164" t="n"/>
      <c r="E27" s="164" t="n"/>
      <c r="F27" s="164" t="n"/>
      <c r="G27" s="164" t="n"/>
    </row>
    <row r="29" ht="34.5" customHeight="1" s="125">
      <c r="A29" s="174" t="inlineStr">
        <is>
          <t>Priority 1: Conversion pipeline</t>
        </is>
      </c>
      <c r="B29" s="245" t="inlineStr">
        <is>
          <t>Invest in PMS/CRM integrations (79% deal-killer), 60-day PoV programme, Swiss references. These directly move the biggest positive lever.</t>
        </is>
      </c>
      <c r="C29" s="246" t="n"/>
      <c r="D29" s="246" t="n"/>
      <c r="E29" s="246" t="n"/>
    </row>
    <row r="30" ht="34.5" customHeight="1" s="125">
      <c r="A30" s="175" t="inlineStr">
        <is>
          <t>Priority 2: Churn prevention</t>
        </is>
      </c>
      <c r="B30" s="247" t="inlineStr">
        <is>
          <t>Build sticky workflows (daily-use content tools, revenue attribution). Churn is the single largest destroyer of long-term value.</t>
        </is>
      </c>
      <c r="C30" s="246" t="n"/>
      <c r="D30" s="246" t="n"/>
      <c r="E30" s="246" t="n"/>
    </row>
    <row r="31" ht="34.5" customHeight="1" s="125">
      <c r="A31" s="174" t="inlineStr">
        <is>
          <t>Priority 3: Pricing discipline</t>
        </is>
      </c>
      <c r="B31" s="245" t="inlineStr">
        <is>
          <t>Hold CHF 2.5-3K ACV. Market validation shows 37% buy@3K — do not discount below CHF 2K even for land-and-expand.</t>
        </is>
      </c>
      <c r="C31" s="246" t="n"/>
      <c r="D31" s="246" t="n"/>
      <c r="E31" s="246" t="n"/>
    </row>
    <row r="32" ht="34.5" customHeight="1" s="125">
      <c r="A32" s="175" t="inlineStr">
        <is>
          <t>Lower priority: Acquisition volume</t>
        </is>
      </c>
      <c r="B32" s="247" t="inlineStr">
        <is>
          <t>The Marco + Amedeo network provides sufficient top-of-funnel. Focus effort on converting warm intros, not generating more cold leads.</t>
        </is>
      </c>
      <c r="C32" s="246" t="n"/>
      <c r="D32" s="246" t="n"/>
      <c r="E32" s="246" t="n"/>
    </row>
    <row r="34" ht="15" customHeight="1" s="125">
      <c r="A34" s="176" t="inlineStr">
        <is>
          <t>Methodology</t>
        </is>
      </c>
    </row>
    <row r="35" ht="30" customHeight="1" s="125">
      <c r="A35" s="248" t="inlineStr">
        <is>
          <t>Each variable perturbed ±20% from base case while holding all others constant. Base case = Path A (Bootstrap) P50 at month 60. 10,000 Monte Carlo simulations per perturbation. Sensitivity measured on ARR, not exit value.</t>
        </is>
      </c>
    </row>
  </sheetData>
  <mergeCells count="5">
    <mergeCell ref="B31:E31"/>
    <mergeCell ref="A35:E35"/>
    <mergeCell ref="B30:E30"/>
    <mergeCell ref="B29:E29"/>
    <mergeCell ref="B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2026-03-12T18:53:29Z</dcterms:created>
  <dcterms:modified xmlns:dcterms="http://purl.org/dc/terms/" xmlns:xsi="http://www.w3.org/2001/XMLSchema-instance" xsi:type="dcterms:W3CDTF">2026-03-23T10:22:54Z</dcterms:modified>
  <cp:revision>0</cp:revision>
</cp:coreProperties>
</file>